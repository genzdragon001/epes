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enzt\OneDrive\Documents\"/>
    </mc:Choice>
  </mc:AlternateContent>
  <xr:revisionPtr revIDLastSave="0" documentId="13_ncr:1_{D7B89C9A-2C11-4905-A561-F92D2AF68E5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TR" sheetId="9" r:id="rId1"/>
    <sheet name="IQAR" sheetId="1" r:id="rId2"/>
    <sheet name="College Activities" sheetId="4" r:id="rId3"/>
    <sheet name="Sheet1" sheetId="10" r:id="rId4"/>
    <sheet name="Sheet2" sheetId="11" r:id="rId5"/>
    <sheet name="Sheet3" sheetId="12" r:id="rId6"/>
    <sheet name="Sheet4" sheetId="13" r:id="rId7"/>
  </sheets>
  <definedNames>
    <definedName name="_xlnm.Print_Area" localSheetId="2">'College Activities'!$A$1:$E$24</definedName>
    <definedName name="_xlnm.Print_Area" localSheetId="0">DTR!$A$1:$G$33</definedName>
    <definedName name="_xlnm.Print_Area" localSheetId="1">IQAR!$A$25:$G$25,IQAR!#REF!,IQAR!#REF!,IQAR!#REF!,IQAR!#REF!,IQAR!$A$1:$G$23,IQAR!#REF!,IQAR!#REF!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" i="1" l="1"/>
  <c r="A9" i="9"/>
  <c r="F112" i="9"/>
  <c r="F82" i="9"/>
  <c r="F53" i="9"/>
  <c r="F21" i="9"/>
  <c r="F12" i="1" l="1"/>
</calcChain>
</file>

<file path=xl/sharedStrings.xml><?xml version="1.0" encoding="utf-8"?>
<sst xmlns="http://schemas.openxmlformats.org/spreadsheetml/2006/main" count="925" uniqueCount="290">
  <si>
    <t>SUMMARY OF MONTHLY DTR SUBMISSION</t>
  </si>
  <si>
    <t>Month</t>
  </si>
  <si>
    <t>Date Submitted</t>
  </si>
  <si>
    <t>Deadline</t>
  </si>
  <si>
    <t>Within the deadline</t>
  </si>
  <si>
    <t>Rating</t>
  </si>
  <si>
    <t>MOV Attached</t>
  </si>
  <si>
    <t>July</t>
  </si>
  <si>
    <t>ü</t>
  </si>
  <si>
    <t>Transmittal stamped by HRMO</t>
  </si>
  <si>
    <t>August</t>
  </si>
  <si>
    <t xml:space="preserve">   Efficiency</t>
  </si>
  <si>
    <t>5-      100% witihin the deadline</t>
  </si>
  <si>
    <t>3-    &gt;100% witihin the deadline</t>
  </si>
  <si>
    <t>I certify the correctness of the above data.</t>
  </si>
  <si>
    <t>JANE H. MERCADO</t>
  </si>
  <si>
    <t>Name</t>
  </si>
  <si>
    <t>Jane Mercado</t>
  </si>
  <si>
    <t xml:space="preserve"> </t>
  </si>
  <si>
    <t>April</t>
  </si>
  <si>
    <t>May</t>
  </si>
  <si>
    <t>June</t>
  </si>
  <si>
    <t>July to September 2025</t>
  </si>
  <si>
    <t>Nenette M. Laurio</t>
  </si>
  <si>
    <t>July 7, 2025</t>
  </si>
  <si>
    <t>July 15, 2025</t>
  </si>
  <si>
    <t>August 14, 2025</t>
  </si>
  <si>
    <t>August 15, 2025</t>
  </si>
  <si>
    <t>September 11, 2025</t>
  </si>
  <si>
    <t>September 15, 2025</t>
  </si>
  <si>
    <t>Renalyn Cabug</t>
  </si>
  <si>
    <t>July 3, 2025</t>
  </si>
  <si>
    <t>August 5, 2025</t>
  </si>
  <si>
    <t>September 4, 2025</t>
  </si>
  <si>
    <t>September 8, 2025</t>
  </si>
  <si>
    <t>Prepared by:</t>
  </si>
  <si>
    <t>Admin Assistant III |PADS Staff</t>
  </si>
  <si>
    <t>Noted by:</t>
  </si>
  <si>
    <t>ENGR. NENETTE M. LAURIO, MPA</t>
  </si>
  <si>
    <t>Director, PADS</t>
  </si>
  <si>
    <t>SUMMARY OF QUARTERLY  ACCOMPLISHMENT REPORT SUBMISSION</t>
  </si>
  <si>
    <t>Total Rating</t>
  </si>
  <si>
    <t>April to June 2025</t>
  </si>
  <si>
    <t>May 15, 2025</t>
  </si>
  <si>
    <t>June 15, 2025</t>
  </si>
  <si>
    <t>July 15 2025</t>
  </si>
  <si>
    <t>ATTENDANCE TO COLLEGE ACTIVITIES</t>
  </si>
  <si>
    <t>Acivity Title</t>
  </si>
  <si>
    <t>Conducted Activty</t>
  </si>
  <si>
    <t>Percentage of Attendance</t>
  </si>
  <si>
    <t>June 6, 2025</t>
  </si>
  <si>
    <t>Reviewed by:</t>
  </si>
  <si>
    <t>June 19, 2025</t>
  </si>
  <si>
    <t>June 11, 2025</t>
  </si>
  <si>
    <t>June 4, 2025</t>
  </si>
  <si>
    <t>May 7, 2025</t>
  </si>
  <si>
    <t>October-December 2025</t>
  </si>
  <si>
    <t>October</t>
  </si>
  <si>
    <t>November</t>
  </si>
  <si>
    <t>December</t>
  </si>
  <si>
    <t>Raymund B. Cuazon</t>
  </si>
  <si>
    <t>November 15, 2025</t>
  </si>
  <si>
    <t>December 15, 2025</t>
  </si>
  <si>
    <t>January 15, 2026</t>
  </si>
  <si>
    <t>October 15, 2025</t>
  </si>
  <si>
    <t>September</t>
  </si>
  <si>
    <t>2nd Quarter</t>
  </si>
  <si>
    <t>3rd Quarter</t>
  </si>
  <si>
    <t>4th Quarter</t>
  </si>
  <si>
    <t>December 19, 2025</t>
  </si>
  <si>
    <t>October 8, 2025</t>
  </si>
  <si>
    <t>Tineliness</t>
  </si>
  <si>
    <t>1. Graduation Rites</t>
  </si>
  <si>
    <t>2. 2nd Quarter Earthquake Drill</t>
  </si>
  <si>
    <t>3. 3rd Quarter Earthquake Drill</t>
  </si>
  <si>
    <t>CARL JAMES T. CABARLES</t>
  </si>
  <si>
    <t>Information Officer II</t>
  </si>
  <si>
    <t>MAFFI GIESON S. ASILUM</t>
  </si>
  <si>
    <t>IO III - PIO Head</t>
  </si>
  <si>
    <t>4. 4th Quarter Earthquake Drill</t>
  </si>
  <si>
    <t>Task</t>
  </si>
  <si>
    <t>Live Stream and Video Coverage</t>
  </si>
  <si>
    <t>Photo with News Coverage</t>
  </si>
  <si>
    <t>5. Team Building</t>
  </si>
  <si>
    <t>6. Spread III</t>
  </si>
  <si>
    <t>September 12, 2025</t>
  </si>
  <si>
    <t>November 25, 2025</t>
  </si>
  <si>
    <t>June to December 2025</t>
  </si>
  <si>
    <t>DTR Transmittal stamped by HRMO</t>
  </si>
  <si>
    <t>January 13, 2026</t>
  </si>
  <si>
    <t>December 12, 2025</t>
  </si>
  <si>
    <t>November 7, 2025</t>
  </si>
  <si>
    <t>August 11, 2025</t>
  </si>
  <si>
    <t>July 4, 2025</t>
  </si>
  <si>
    <t>IQAR/DTR Transmittal from HR</t>
  </si>
  <si>
    <t>Date Acquired</t>
  </si>
  <si>
    <t>Item No.</t>
  </si>
  <si>
    <t>ICS / Property No.</t>
  </si>
  <si>
    <t>Description</t>
  </si>
  <si>
    <t>Amount</t>
  </si>
  <si>
    <t>Condition</t>
  </si>
  <si>
    <t>June 27, 2022</t>
  </si>
  <si>
    <t>2022-084</t>
  </si>
  <si>
    <t>2 units 128gb Extreme Pro SDXC UHS-icard C10, U3, V30 4k UHD, SD SDSXXY-128GGN4IN</t>
  </si>
  <si>
    <t>Serviceable</t>
  </si>
  <si>
    <t>1 unit Video head &amp; Tripod Kit KH25P</t>
  </si>
  <si>
    <t>Feb. 21, 2022</t>
  </si>
  <si>
    <t>2022-094</t>
  </si>
  <si>
    <t>1 unit scarlet 8i8 USB audio interface</t>
  </si>
  <si>
    <t>4 pcs Procaster broadcast quality dynamic microphone</t>
  </si>
  <si>
    <t>1 pc ATEM mini pro</t>
  </si>
  <si>
    <t>2 pcs USB 3.0 to HDMI display adapter</t>
  </si>
  <si>
    <t>1 pc Coaxial cable, 30 meters</t>
  </si>
  <si>
    <t>1 unit Acer monitor, 24" RH240HY</t>
  </si>
  <si>
    <t>1 unit On air studio LED light</t>
  </si>
  <si>
    <t>1 pc Wireless N router TL-MR3420 EV Tp-Link</t>
  </si>
  <si>
    <t>1 pc Icom portable Radio IC-V86</t>
  </si>
  <si>
    <t>2 pcs Professional Studio Headphones shure</t>
  </si>
  <si>
    <t>3 pcs Edifier wireless headsets/headphones</t>
  </si>
  <si>
    <t>Oct. 8, 2021</t>
  </si>
  <si>
    <t>2021-137</t>
  </si>
  <si>
    <t>2 pcs Document tray Cork board 3x5</t>
  </si>
  <si>
    <t>1 pc Cork Board, 3' x 5'</t>
  </si>
  <si>
    <t>July 29, 2021</t>
  </si>
  <si>
    <t>2021-102</t>
  </si>
  <si>
    <t>3 pcs HDMI cable (100 feet) w/ signal booster</t>
  </si>
  <si>
    <t>July 29, 2022</t>
  </si>
  <si>
    <t>2021-098</t>
  </si>
  <si>
    <t>1 unit Work force DS-360, wifi portable scanner</t>
  </si>
  <si>
    <t>1 unit DSLR Camera Canon EOS 200D II</t>
  </si>
  <si>
    <t>Jan. 26, 2021</t>
  </si>
  <si>
    <t>2021-002</t>
  </si>
  <si>
    <t>1 unit Water dispenser</t>
  </si>
  <si>
    <t>Jan. 11, 2021</t>
  </si>
  <si>
    <t>2021-001</t>
  </si>
  <si>
    <t>1 unit 16 channel mixer, YAMAHA</t>
  </si>
  <si>
    <t>1 unit Stereo bookshelf speaker (pair) EDIFIER</t>
  </si>
  <si>
    <t>1 unit Updated live band sound card V8-II</t>
  </si>
  <si>
    <t>1 unit Smart Tv" DEVANT</t>
  </si>
  <si>
    <t>1 unit DSLR Camera Sony, CX 6000</t>
  </si>
  <si>
    <t>1 unit Multifunctional Printer Epson L6190</t>
  </si>
  <si>
    <t>1 unit Professional Studio Microphone (neewer NW-800)</t>
  </si>
  <si>
    <t>1 unit Portable E-Radio (BAOFENG UV-5R)</t>
  </si>
  <si>
    <t>1 unit Aluminum Camera Tripod</t>
  </si>
  <si>
    <t>1 unit Steel Cabinet 12 doors w/ Individual lock</t>
  </si>
  <si>
    <t>Dec 3, 2020</t>
  </si>
  <si>
    <t>2020-110</t>
  </si>
  <si>
    <t>1 unit AFM Antena</t>
  </si>
  <si>
    <t>30 meters Coaxial cable</t>
  </si>
  <si>
    <t>1 unit 10 channel mixer/equalizer</t>
  </si>
  <si>
    <t>2 sets Medium speaker, 2 pcs Per set white</t>
  </si>
  <si>
    <t>1 unit DVD player samsung</t>
  </si>
  <si>
    <t>50 pcs Sound proof foams</t>
  </si>
  <si>
    <t>2 sets V8 microphone W/ condenser</t>
  </si>
  <si>
    <t>Nov. 18, 2020</t>
  </si>
  <si>
    <t>2020-107</t>
  </si>
  <si>
    <t>1 unit Office table</t>
  </si>
  <si>
    <t>1 unit Portable air condition Union</t>
  </si>
  <si>
    <t>Oct. 27, 2022</t>
  </si>
  <si>
    <t>2020-096</t>
  </si>
  <si>
    <t>2 units Hard Drive disk 1 TB External</t>
  </si>
  <si>
    <t>2 units Camera web</t>
  </si>
  <si>
    <t>1 unit Printer Epson 3 in 1 L3110</t>
  </si>
  <si>
    <t>2 units Ring light w/ stand</t>
  </si>
  <si>
    <t>1 set Computer Desktop Lenovo CPU, Acer</t>
  </si>
  <si>
    <t>July 25, 2022</t>
  </si>
  <si>
    <t>2022-06-22-342</t>
  </si>
  <si>
    <t>1 unit Full camcorder touch panel LCD screen</t>
  </si>
  <si>
    <t>2021-7-29-08</t>
  </si>
  <si>
    <t>2 unit Computer Desktop intel core i7 ACER</t>
  </si>
  <si>
    <t>Jan. 28, 2021</t>
  </si>
  <si>
    <t>2021-1-28-514B</t>
  </si>
  <si>
    <t>1 unit High power UPS w/ Voltage Regulator</t>
  </si>
  <si>
    <t>Regular Checkup Report of Livestreaming and Documentation Equipement</t>
  </si>
  <si>
    <t>June to December, 2025</t>
  </si>
  <si>
    <t>Summary of Inspection Report</t>
  </si>
  <si>
    <t>Remarks</t>
  </si>
  <si>
    <t>June - December 2025</t>
  </si>
  <si>
    <t xml:space="preserve"> No.</t>
  </si>
  <si>
    <t>Office/Org Requested</t>
  </si>
  <si>
    <t xml:space="preserve">Name </t>
  </si>
  <si>
    <t>Date Requested</t>
  </si>
  <si>
    <t>Service</t>
  </si>
  <si>
    <t>Output Submitted</t>
  </si>
  <si>
    <t>No.</t>
  </si>
  <si>
    <t>Service Avail</t>
  </si>
  <si>
    <t>-</t>
  </si>
  <si>
    <t>Jeremy Burgo</t>
  </si>
  <si>
    <t>Jan 02 2025</t>
  </si>
  <si>
    <t>Photo/Video Documentation</t>
  </si>
  <si>
    <t>Very Satisfied</t>
  </si>
  <si>
    <t>Graduate School</t>
  </si>
  <si>
    <t>Rodolfo Burac</t>
  </si>
  <si>
    <t>Jan 17 2025</t>
  </si>
  <si>
    <t>CEDGSC</t>
  </si>
  <si>
    <t>Cyra Derose A. Mapiscay</t>
  </si>
  <si>
    <t>Jan 21 2025</t>
  </si>
  <si>
    <t>Layout Design</t>
  </si>
  <si>
    <t>Satisfied</t>
  </si>
  <si>
    <t>College of Agriculture</t>
  </si>
  <si>
    <t>Emmanuel Ray A. Fuentes</t>
  </si>
  <si>
    <t>Norie-Ar M. Sola</t>
  </si>
  <si>
    <t>Feb 03 2025</t>
  </si>
  <si>
    <t>BECED</t>
  </si>
  <si>
    <t>Shellynna D. Fuentes</t>
  </si>
  <si>
    <t>Feb 06 2025</t>
  </si>
  <si>
    <t>BECED - 3</t>
  </si>
  <si>
    <t>Jenalyn D. Ballais</t>
  </si>
  <si>
    <t>Feb 25 2025</t>
  </si>
  <si>
    <t>Supply</t>
  </si>
  <si>
    <t>Reggie R. Dellosa</t>
  </si>
  <si>
    <t>March 23 2025</t>
  </si>
  <si>
    <t>BSED - English 2A</t>
  </si>
  <si>
    <t>Xylene Khrystofer Onrubia</t>
  </si>
  <si>
    <t>April 21 2025</t>
  </si>
  <si>
    <t>Allan T. Cinco Jr.</t>
  </si>
  <si>
    <t>Photo/Video Documentation; Audio Recording</t>
  </si>
  <si>
    <t>IPTBM</t>
  </si>
  <si>
    <t>Engr. Marco Angelo Dejucos</t>
  </si>
  <si>
    <t>April 22 2025</t>
  </si>
  <si>
    <t>Planning &amp; Dev. Services</t>
  </si>
  <si>
    <t>Jane H. Mercado</t>
  </si>
  <si>
    <t>April 28 2025</t>
  </si>
  <si>
    <t>SSC</t>
  </si>
  <si>
    <t>Emmanuel M. Merioles</t>
  </si>
  <si>
    <t>May 23 2025</t>
  </si>
  <si>
    <t>IRO</t>
  </si>
  <si>
    <t>Maribel D. Marcos</t>
  </si>
  <si>
    <t>July 03 2025</t>
  </si>
  <si>
    <t>Video Production</t>
  </si>
  <si>
    <t>Photo Documentation</t>
  </si>
  <si>
    <t>Elreen A. Delavin</t>
  </si>
  <si>
    <t>July 04 2025</t>
  </si>
  <si>
    <t>Polo Shirt Design</t>
  </si>
  <si>
    <t>Cawayan Campus</t>
  </si>
  <si>
    <t>Cesar D. Almonicar</t>
  </si>
  <si>
    <t>July 25 2025</t>
  </si>
  <si>
    <t>Audio Recording</t>
  </si>
  <si>
    <t>Joyce P. Arcenal</t>
  </si>
  <si>
    <t>August 07 2025</t>
  </si>
  <si>
    <t>Guidance &amp; Counseling</t>
  </si>
  <si>
    <t>Sarah J. Abawag</t>
  </si>
  <si>
    <t>August 15 2025</t>
  </si>
  <si>
    <t>CENG</t>
  </si>
  <si>
    <t>Nacel C. Altizon</t>
  </si>
  <si>
    <t>August 27 2025</t>
  </si>
  <si>
    <t>Zaira Joy Maglente</t>
  </si>
  <si>
    <t>August 28 2025</t>
  </si>
  <si>
    <t>Livestreaming; Photo/Video Documentation</t>
  </si>
  <si>
    <t>Margie B. Cinco</t>
  </si>
  <si>
    <t>Sept 10 2025</t>
  </si>
  <si>
    <t>Livestreaming</t>
  </si>
  <si>
    <t>BPA</t>
  </si>
  <si>
    <t>Leo A. Ramos</t>
  </si>
  <si>
    <t>Oct 29 2025</t>
  </si>
  <si>
    <t>Layout/Design</t>
  </si>
  <si>
    <t>Nov 11 2025</t>
  </si>
  <si>
    <t>OSAS</t>
  </si>
  <si>
    <t>Grace B. Abella</t>
  </si>
  <si>
    <t>Nov 19 2025</t>
  </si>
  <si>
    <t>Production &amp; Aux Services</t>
  </si>
  <si>
    <t>Polly C. Matriz</t>
  </si>
  <si>
    <t>Rainmael L. De Guzman</t>
  </si>
  <si>
    <t>Nov 21 2025</t>
  </si>
  <si>
    <t>Adonabeth C. Mesa</t>
  </si>
  <si>
    <t>Nov 25 2025</t>
  </si>
  <si>
    <t>Zoom Assistance</t>
  </si>
  <si>
    <t>Juper Escalante</t>
  </si>
  <si>
    <t>Dec 01 2025</t>
  </si>
  <si>
    <t>Office of Planning</t>
  </si>
  <si>
    <t>Nenette Laurio</t>
  </si>
  <si>
    <t>Dec 12 2025</t>
  </si>
  <si>
    <t>Photo Documentation; Layout; Public Service Advisory</t>
  </si>
  <si>
    <t>College of Education</t>
  </si>
  <si>
    <t>RP Reel O. Acosta</t>
  </si>
  <si>
    <t>Dec 19 2025</t>
  </si>
  <si>
    <t>Video Production; Livestreaming</t>
  </si>
  <si>
    <t xml:space="preserve">Complied </t>
  </si>
  <si>
    <t>GENESIS A. TUMBAGA</t>
  </si>
  <si>
    <t>Information Officer I</t>
  </si>
  <si>
    <t>January - December  2025</t>
  </si>
  <si>
    <t>March</t>
  </si>
  <si>
    <t>February</t>
  </si>
  <si>
    <t>January</t>
  </si>
  <si>
    <t>February 15, 2025</t>
  </si>
  <si>
    <t>March 15, 2025</t>
  </si>
  <si>
    <t>April 15, 2025</t>
  </si>
  <si>
    <t>1st Quarter</t>
  </si>
  <si>
    <t>April 4, 2025</t>
  </si>
  <si>
    <t>JANUARY to 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</si>
</sst>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sz val="11"/>
      <color theme="1"/>
      <name val="Wingdings"/>
      <charset val="2"/>
    </font>
    <font>
      <b/>
      <sz val="14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0"/>
      <color theme="1"/>
      <name val="Times New Roman"/>
      <family val="1"/>
    </font>
    <font>
      <sz val="10"/>
      <color theme="0"/>
      <name val="Times New Roman"/>
      <family val="1"/>
    </font>
    <font>
      <b/>
      <i/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1"/>
      <color theme="1"/>
      <name val="Times New Roman"/>
      <family val="1"/>
    </font>
    <font>
      <i/>
      <sz val="11"/>
      <color theme="1"/>
      <name val="Century Gothic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Times New Roman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2614D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BA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8">
    <xf numFmtId="0" fontId="0" fillId="0" borderId="0" xfId="0"/>
    <xf numFmtId="0" fontId="0" fillId="0" borderId="0" xfId="0" applyAlignment="1">
      <alignment horizontal="center" wrapText="1"/>
    </xf>
    <xf numFmtId="9" fontId="4" fillId="0" borderId="1" xfId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7" fillId="0" borderId="1" xfId="0" quotePrefix="1" applyFont="1" applyBorder="1" applyAlignment="1">
      <alignment horizontal="left" vertical="center"/>
    </xf>
    <xf numFmtId="15" fontId="7" fillId="0" borderId="1" xfId="0" quotePrefix="1" applyNumberFormat="1" applyFont="1" applyBorder="1" applyAlignment="1">
      <alignment horizontal="left" vertical="center"/>
    </xf>
    <xf numFmtId="1" fontId="9" fillId="0" borderId="1" xfId="0" applyNumberFormat="1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9" fontId="11" fillId="3" borderId="1" xfId="0" applyNumberFormat="1" applyFont="1" applyFill="1" applyBorder="1" applyAlignment="1">
      <alignment horizontal="center" vertical="center"/>
    </xf>
    <xf numFmtId="1" fontId="12" fillId="3" borderId="1" xfId="0" applyNumberFormat="1" applyFont="1" applyFill="1" applyBorder="1" applyAlignment="1" applyProtection="1">
      <alignment horizontal="center" vertical="center"/>
      <protection hidden="1"/>
    </xf>
    <xf numFmtId="0" fontId="7" fillId="2" borderId="1" xfId="0" quotePrefix="1" applyFont="1" applyFill="1" applyBorder="1" applyAlignment="1">
      <alignment horizontal="center" vertical="center"/>
    </xf>
    <xf numFmtId="0" fontId="6" fillId="0" borderId="0" xfId="0" applyFont="1"/>
    <xf numFmtId="0" fontId="13" fillId="0" borderId="0" xfId="0" applyFont="1" applyAlignment="1">
      <alignment horizontal="left"/>
    </xf>
    <xf numFmtId="0" fontId="8" fillId="2" borderId="26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9" fontId="7" fillId="0" borderId="28" xfId="1" applyFont="1" applyBorder="1" applyAlignment="1">
      <alignment horizontal="center" vertical="center"/>
    </xf>
    <xf numFmtId="0" fontId="7" fillId="0" borderId="28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center" vertical="center" wrapText="1"/>
    </xf>
    <xf numFmtId="1" fontId="9" fillId="0" borderId="19" xfId="0" applyNumberFormat="1" applyFont="1" applyBorder="1" applyAlignment="1" applyProtection="1">
      <alignment horizontal="center" vertical="center"/>
      <protection hidden="1"/>
    </xf>
    <xf numFmtId="0" fontId="8" fillId="2" borderId="30" xfId="0" applyFont="1" applyFill="1" applyBorder="1" applyAlignment="1">
      <alignment horizontal="left"/>
    </xf>
    <xf numFmtId="0" fontId="6" fillId="2" borderId="30" xfId="0" applyFont="1" applyFill="1" applyBorder="1" applyAlignment="1">
      <alignment horizontal="left"/>
    </xf>
    <xf numFmtId="9" fontId="11" fillId="4" borderId="3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164" fontId="12" fillId="4" borderId="13" xfId="0" applyNumberFormat="1" applyFont="1" applyFill="1" applyBorder="1" applyAlignment="1" applyProtection="1">
      <alignment horizontal="center" vertical="center"/>
      <protection hidden="1"/>
    </xf>
    <xf numFmtId="0" fontId="7" fillId="0" borderId="28" xfId="0" quotePrefix="1" applyFont="1" applyBorder="1" applyAlignment="1">
      <alignment horizontal="center" vertical="center" wrapText="1"/>
    </xf>
    <xf numFmtId="15" fontId="9" fillId="0" borderId="1" xfId="0" quotePrefix="1" applyNumberFormat="1" applyFont="1" applyBorder="1" applyAlignment="1">
      <alignment horizontal="left" vertical="center"/>
    </xf>
    <xf numFmtId="15" fontId="9" fillId="0" borderId="16" xfId="0" quotePrefix="1" applyNumberFormat="1" applyFont="1" applyBorder="1" applyAlignment="1">
      <alignment horizontal="left" vertical="center"/>
    </xf>
    <xf numFmtId="15" fontId="9" fillId="0" borderId="5" xfId="0" quotePrefix="1" applyNumberFormat="1" applyFont="1" applyBorder="1" applyAlignment="1">
      <alignment horizontal="left" vertical="center"/>
    </xf>
    <xf numFmtId="0" fontId="7" fillId="0" borderId="5" xfId="0" quotePrefix="1" applyFont="1" applyBorder="1" applyAlignment="1">
      <alignment horizontal="left" vertical="center"/>
    </xf>
    <xf numFmtId="15" fontId="7" fillId="0" borderId="5" xfId="0" quotePrefix="1" applyNumberFormat="1" applyFont="1" applyBorder="1" applyAlignment="1">
      <alignment horizontal="left" vertical="center"/>
    </xf>
    <xf numFmtId="9" fontId="4" fillId="0" borderId="5" xfId="1" applyFont="1" applyBorder="1" applyAlignment="1">
      <alignment horizontal="center" vertical="center"/>
    </xf>
    <xf numFmtId="1" fontId="9" fillId="0" borderId="5" xfId="0" applyNumberFormat="1" applyFont="1" applyBorder="1" applyAlignment="1" applyProtection="1">
      <alignment horizontal="center" vertical="center"/>
      <protection hidden="1"/>
    </xf>
    <xf numFmtId="0" fontId="7" fillId="0" borderId="20" xfId="0" applyFont="1" applyBorder="1" applyAlignment="1">
      <alignment horizontal="left"/>
    </xf>
    <xf numFmtId="0" fontId="7" fillId="0" borderId="16" xfId="0" quotePrefix="1" applyFont="1" applyBorder="1" applyAlignment="1">
      <alignment horizontal="left" vertical="center"/>
    </xf>
    <xf numFmtId="9" fontId="4" fillId="0" borderId="16" xfId="1" applyFont="1" applyBorder="1" applyAlignment="1">
      <alignment horizontal="center" vertical="center"/>
    </xf>
    <xf numFmtId="1" fontId="9" fillId="0" borderId="16" xfId="0" applyNumberFormat="1" applyFont="1" applyBorder="1" applyAlignment="1" applyProtection="1">
      <alignment horizontal="center" vertical="center"/>
      <protection hidden="1"/>
    </xf>
    <xf numFmtId="15" fontId="7" fillId="0" borderId="16" xfId="0" quotePrefix="1" applyNumberFormat="1" applyFont="1" applyBorder="1" applyAlignment="1">
      <alignment horizontal="left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left" vertical="center"/>
    </xf>
    <xf numFmtId="9" fontId="11" fillId="3" borderId="5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 applyProtection="1">
      <alignment horizontal="center" vertical="center"/>
      <protection hidden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left"/>
    </xf>
    <xf numFmtId="0" fontId="10" fillId="2" borderId="32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left"/>
    </xf>
    <xf numFmtId="17" fontId="7" fillId="0" borderId="28" xfId="0" quotePrefix="1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/>
    </xf>
    <xf numFmtId="0" fontId="10" fillId="2" borderId="16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left" vertical="center"/>
    </xf>
    <xf numFmtId="9" fontId="11" fillId="3" borderId="16" xfId="0" applyNumberFormat="1" applyFont="1" applyFill="1" applyBorder="1" applyAlignment="1">
      <alignment horizontal="center" vertical="center"/>
    </xf>
    <xf numFmtId="0" fontId="7" fillId="2" borderId="25" xfId="0" quotePrefix="1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left" wrapText="1"/>
    </xf>
    <xf numFmtId="15" fontId="7" fillId="0" borderId="15" xfId="0" quotePrefix="1" applyNumberFormat="1" applyFont="1" applyBorder="1" applyAlignment="1">
      <alignment horizontal="left" vertical="center"/>
    </xf>
    <xf numFmtId="1" fontId="9" fillId="0" borderId="34" xfId="0" applyNumberFormat="1" applyFont="1" applyBorder="1" applyAlignment="1" applyProtection="1">
      <alignment horizontal="center" vertical="center"/>
      <protection hidden="1"/>
    </xf>
    <xf numFmtId="1" fontId="9" fillId="0" borderId="35" xfId="0" applyNumberFormat="1" applyFont="1" applyBorder="1" applyAlignment="1" applyProtection="1">
      <alignment horizontal="center" vertical="center"/>
      <protection hidden="1"/>
    </xf>
    <xf numFmtId="0" fontId="10" fillId="2" borderId="32" xfId="0" applyFont="1" applyFill="1" applyBorder="1" applyAlignment="1">
      <alignment horizontal="left" vertical="center"/>
    </xf>
    <xf numFmtId="9" fontId="11" fillId="3" borderId="32" xfId="0" applyNumberFormat="1" applyFont="1" applyFill="1" applyBorder="1" applyAlignment="1">
      <alignment horizontal="center" vertical="center"/>
    </xf>
    <xf numFmtId="1" fontId="12" fillId="3" borderId="32" xfId="0" applyNumberFormat="1" applyFont="1" applyFill="1" applyBorder="1" applyAlignment="1" applyProtection="1">
      <alignment horizontal="center" vertical="center"/>
      <protection hidden="1"/>
    </xf>
    <xf numFmtId="0" fontId="7" fillId="2" borderId="21" xfId="0" quotePrefix="1" applyFont="1" applyFill="1" applyBorder="1" applyAlignment="1">
      <alignment horizontal="center" vertical="center"/>
    </xf>
    <xf numFmtId="1" fontId="9" fillId="0" borderId="24" xfId="0" applyNumberFormat="1" applyFont="1" applyBorder="1" applyAlignment="1" applyProtection="1">
      <alignment horizontal="center" vertical="center"/>
      <protection hidden="1"/>
    </xf>
    <xf numFmtId="1" fontId="12" fillId="3" borderId="25" xfId="0" applyNumberFormat="1" applyFont="1" applyFill="1" applyBorder="1" applyAlignment="1" applyProtection="1">
      <alignment horizontal="center" vertical="center"/>
      <protection hidden="1"/>
    </xf>
    <xf numFmtId="0" fontId="7" fillId="0" borderId="12" xfId="0" applyFont="1" applyBorder="1"/>
    <xf numFmtId="0" fontId="7" fillId="0" borderId="13" xfId="0" applyFont="1" applyBorder="1"/>
    <xf numFmtId="165" fontId="9" fillId="0" borderId="19" xfId="0" quotePrefix="1" applyNumberFormat="1" applyFont="1" applyBorder="1" applyAlignment="1" applyProtection="1">
      <alignment horizontal="center" vertical="center" wrapText="1"/>
      <protection hidden="1"/>
    </xf>
    <xf numFmtId="0" fontId="7" fillId="0" borderId="29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/>
    </xf>
    <xf numFmtId="0" fontId="7" fillId="0" borderId="14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9" fontId="7" fillId="0" borderId="15" xfId="1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 wrapText="1"/>
    </xf>
    <xf numFmtId="0" fontId="7" fillId="0" borderId="39" xfId="0" quotePrefix="1" applyFont="1" applyBorder="1" applyAlignment="1">
      <alignment horizontal="center" vertical="center" wrapText="1"/>
    </xf>
    <xf numFmtId="17" fontId="7" fillId="0" borderId="39" xfId="0" quotePrefix="1" applyNumberFormat="1" applyFont="1" applyBorder="1" applyAlignment="1">
      <alignment horizontal="center" vertical="center" wrapText="1"/>
    </xf>
    <xf numFmtId="0" fontId="16" fillId="0" borderId="40" xfId="0" applyFont="1" applyBorder="1" applyAlignment="1">
      <alignment vertical="center"/>
    </xf>
    <xf numFmtId="0" fontId="15" fillId="0" borderId="40" xfId="0" applyFont="1" applyBorder="1" applyAlignment="1">
      <alignment vertical="center"/>
    </xf>
    <xf numFmtId="0" fontId="0" fillId="0" borderId="0" xfId="0" applyAlignment="1">
      <alignment wrapText="1"/>
    </xf>
    <xf numFmtId="0" fontId="7" fillId="0" borderId="40" xfId="0" applyFont="1" applyBorder="1" applyAlignment="1">
      <alignment vertical="center"/>
    </xf>
    <xf numFmtId="0" fontId="7" fillId="0" borderId="40" xfId="0" applyFont="1" applyBorder="1" applyAlignment="1">
      <alignment vertical="center" wrapText="1"/>
    </xf>
    <xf numFmtId="4" fontId="7" fillId="0" borderId="40" xfId="0" applyNumberFormat="1" applyFont="1" applyBorder="1" applyAlignment="1">
      <alignment vertical="center"/>
    </xf>
    <xf numFmtId="0" fontId="5" fillId="2" borderId="40" xfId="0" applyFont="1" applyFill="1" applyBorder="1" applyAlignment="1">
      <alignment vertical="center" wrapText="1"/>
    </xf>
    <xf numFmtId="0" fontId="5" fillId="2" borderId="40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 wrapText="1"/>
    </xf>
    <xf numFmtId="0" fontId="5" fillId="2" borderId="5" xfId="0" applyFont="1" applyFill="1" applyBorder="1" applyAlignment="1">
      <alignment horizontal="center" vertical="center"/>
    </xf>
    <xf numFmtId="0" fontId="0" fillId="0" borderId="1" xfId="0" applyBorder="1"/>
    <xf numFmtId="0" fontId="5" fillId="2" borderId="4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6" fillId="0" borderId="10" xfId="0" quotePrefix="1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7" fillId="0" borderId="9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0" xfId="0" applyFont="1" applyBorder="1" applyAlignment="1">
      <alignment horizontal="center"/>
    </xf>
    <xf numFmtId="0" fontId="6" fillId="0" borderId="3" xfId="0" quotePrefix="1" applyFont="1" applyBorder="1" applyAlignment="1">
      <alignment horizontal="center" vertical="center" wrapText="1"/>
    </xf>
    <xf numFmtId="0" fontId="6" fillId="0" borderId="4" xfId="0" quotePrefix="1" applyFont="1" applyBorder="1" applyAlignment="1">
      <alignment horizontal="center" vertical="center" wrapText="1"/>
    </xf>
    <xf numFmtId="0" fontId="6" fillId="0" borderId="5" xfId="0" quotePrefix="1" applyFont="1" applyBorder="1" applyAlignment="1">
      <alignment horizontal="center" vertical="center" wrapText="1"/>
    </xf>
    <xf numFmtId="0" fontId="13" fillId="0" borderId="33" xfId="0" applyFont="1" applyBorder="1" applyAlignment="1">
      <alignment horizontal="left"/>
    </xf>
    <xf numFmtId="0" fontId="13" fillId="0" borderId="36" xfId="0" applyFont="1" applyBorder="1" applyAlignment="1">
      <alignment horizontal="left"/>
    </xf>
    <xf numFmtId="0" fontId="13" fillId="0" borderId="37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left"/>
    </xf>
    <xf numFmtId="17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wrapText="1"/>
    </xf>
    <xf numFmtId="0" fontId="8" fillId="2" borderId="43" xfId="0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0" borderId="1" xfId="0" quotePrefix="1" applyFont="1" applyBorder="1"/>
    <xf numFmtId="9" fontId="7" fillId="0" borderId="5" xfId="1" applyFont="1" applyBorder="1" applyAlignment="1">
      <alignment horizontal="center" vertical="center"/>
    </xf>
    <xf numFmtId="0" fontId="7" fillId="0" borderId="33" xfId="0" applyFont="1" applyBorder="1" applyAlignment="1">
      <alignment horizontal="left" wrapText="1"/>
    </xf>
    <xf numFmtId="0" fontId="7" fillId="0" borderId="42" xfId="0" applyFont="1" applyBorder="1" applyAlignment="1">
      <alignment horizontal="left" wrapText="1"/>
    </xf>
    <xf numFmtId="0" fontId="7" fillId="0" borderId="41" xfId="0" applyFont="1" applyBorder="1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2614D"/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95</xdr:row>
      <xdr:rowOff>73139</xdr:rowOff>
    </xdr:from>
    <xdr:to>
      <xdr:col>6</xdr:col>
      <xdr:colOff>14911</xdr:colOff>
      <xdr:row>96</xdr:row>
      <xdr:rowOff>26090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9299250-0286-46EA-A31E-C4D82D5A1064}"/>
            </a:ext>
          </a:extLst>
        </xdr:cNvPr>
        <xdr:cNvGrpSpPr/>
      </xdr:nvGrpSpPr>
      <xdr:grpSpPr>
        <a:xfrm>
          <a:off x="314325" y="22462687"/>
          <a:ext cx="6194151" cy="1271542"/>
          <a:chOff x="268735" y="-72371"/>
          <a:chExt cx="5058367" cy="1011913"/>
        </a:xfrm>
      </xdr:grpSpPr>
      <xdr:sp macro="" textlink="">
        <xdr:nvSpPr>
          <xdr:cNvPr id="3" name="Text Box 236">
            <a:extLst>
              <a:ext uri="{FF2B5EF4-FFF2-40B4-BE49-F238E27FC236}">
                <a16:creationId xmlns:a16="http://schemas.microsoft.com/office/drawing/2014/main" id="{2A20FD5E-6EEB-2A4A-C485-BCC4271684DC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5377" y="-72371"/>
            <a:ext cx="4391725" cy="10119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FF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algn="l">
              <a:spcAft>
                <a:spcPts val="0"/>
              </a:spcAft>
            </a:pPr>
            <a:r>
              <a:rPr lang="en-US" sz="1050">
                <a:effectLst/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rPr>
              <a:t>Republic of the Philippines</a:t>
            </a:r>
            <a:endParaRPr lang="en-PH" sz="1050"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l">
              <a:spcAft>
                <a:spcPts val="0"/>
              </a:spcAft>
            </a:pPr>
            <a:r>
              <a:rPr lang="en-US" sz="1400" b="1">
                <a:effectLst/>
                <a:latin typeface="Century Gothic" panose="020B0502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DR. EMILIO B. ESPINOSA, SR. MEMORIAL STATE COLLEGE</a:t>
            </a:r>
            <a:endParaRPr lang="en-PH" sz="1100">
              <a:effectLst/>
              <a:latin typeface="Century Gothic" panose="020B0502020202020204" pitchFamily="34" charset="0"/>
              <a:ea typeface="Times New Roman" panose="02020603050405020304" pitchFamily="18" charset="0"/>
            </a:endParaRPr>
          </a:p>
          <a:p>
            <a:pPr algn="l">
              <a:spcAft>
                <a:spcPts val="0"/>
              </a:spcAft>
            </a:pPr>
            <a:r>
              <a:rPr lang="en-US" sz="1400" b="1">
                <a:effectLst/>
                <a:latin typeface="Century Gothic" panose="020B0502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OF AGRICULTURE AND TECHNOLOGY</a:t>
            </a:r>
            <a:endParaRPr lang="en-PH" sz="1100">
              <a:effectLst/>
              <a:latin typeface="Century Gothic" panose="020B0502020202020204" pitchFamily="34" charset="0"/>
              <a:ea typeface="Times New Roman" panose="02020603050405020304" pitchFamily="18" charset="0"/>
            </a:endParaRPr>
          </a:p>
          <a:p>
            <a:pPr algn="l">
              <a:spcAft>
                <a:spcPts val="0"/>
              </a:spcAft>
            </a:pPr>
            <a:r>
              <a:rPr lang="en-PH" sz="1200" b="1"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PLANNING AND DEVELOPMENT</a:t>
            </a:r>
            <a:r>
              <a:rPr lang="en-PH" sz="1200" b="1" baseline="0"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 SERVICES</a:t>
            </a:r>
            <a:endParaRPr lang="en-PH" sz="10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  <a:p>
            <a:pPr algn="l">
              <a:spcAft>
                <a:spcPts val="0"/>
              </a:spcAft>
            </a:pPr>
            <a:r>
              <a:rPr lang="en-US" sz="1050">
                <a:effectLst/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rPr>
              <a:t>Mandaon, Masbate  | </a:t>
            </a:r>
            <a:r>
              <a:rPr lang="en-US" sz="1050" i="1" u="sng">
                <a:solidFill>
                  <a:srgbClr val="0000FF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rPr>
              <a:t>www.debesmscat.edu.ph</a:t>
            </a:r>
            <a:endParaRPr lang="en-PH" sz="1050"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pic>
        <xdr:nvPicPr>
          <xdr:cNvPr id="4" name="Picture 3" descr="F:\DEBESMSCAT New Logo\NEW LOGO_TRANSPARENT BACKGROUND.png">
            <a:extLst>
              <a:ext uri="{FF2B5EF4-FFF2-40B4-BE49-F238E27FC236}">
                <a16:creationId xmlns:a16="http://schemas.microsoft.com/office/drawing/2014/main" id="{5C13FE24-CA18-2B1C-6658-77F3EAB453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68735" y="-4133"/>
            <a:ext cx="672450" cy="740648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  <xdr:twoCellAnchor>
    <xdr:from>
      <xdr:col>0</xdr:col>
      <xdr:colOff>314325</xdr:colOff>
      <xdr:row>65</xdr:row>
      <xdr:rowOff>73139</xdr:rowOff>
    </xdr:from>
    <xdr:to>
      <xdr:col>6</xdr:col>
      <xdr:colOff>14911</xdr:colOff>
      <xdr:row>66</xdr:row>
      <xdr:rowOff>26090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F4AD4D70-BF28-46BC-8901-98A8FAEFC77E}"/>
            </a:ext>
          </a:extLst>
        </xdr:cNvPr>
        <xdr:cNvGrpSpPr/>
      </xdr:nvGrpSpPr>
      <xdr:grpSpPr>
        <a:xfrm>
          <a:off x="314325" y="15319765"/>
          <a:ext cx="6194151" cy="1271542"/>
          <a:chOff x="268735" y="-72371"/>
          <a:chExt cx="5058367" cy="1011913"/>
        </a:xfrm>
      </xdr:grpSpPr>
      <xdr:sp macro="" textlink="">
        <xdr:nvSpPr>
          <xdr:cNvPr id="9" name="Text Box 236">
            <a:extLst>
              <a:ext uri="{FF2B5EF4-FFF2-40B4-BE49-F238E27FC236}">
                <a16:creationId xmlns:a16="http://schemas.microsoft.com/office/drawing/2014/main" id="{7DE10A92-C046-460F-F3AE-740517078F2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5377" y="-72371"/>
            <a:ext cx="4391725" cy="10119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FF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algn="l">
              <a:spcAft>
                <a:spcPts val="0"/>
              </a:spcAft>
            </a:pPr>
            <a:r>
              <a:rPr lang="en-US" sz="1050">
                <a:effectLst/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rPr>
              <a:t>Republic of the Philippines</a:t>
            </a:r>
            <a:endParaRPr lang="en-PH" sz="1050"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l">
              <a:spcAft>
                <a:spcPts val="0"/>
              </a:spcAft>
            </a:pPr>
            <a:r>
              <a:rPr lang="en-US" sz="1400" b="1">
                <a:effectLst/>
                <a:latin typeface="Century Gothic" panose="020B0502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DR. EMILIO B. ESPINOSA, SR. MEMORIAL STATE COLLEGE</a:t>
            </a:r>
            <a:endParaRPr lang="en-PH" sz="1100">
              <a:effectLst/>
              <a:latin typeface="Century Gothic" panose="020B0502020202020204" pitchFamily="34" charset="0"/>
              <a:ea typeface="Times New Roman" panose="02020603050405020304" pitchFamily="18" charset="0"/>
            </a:endParaRPr>
          </a:p>
          <a:p>
            <a:pPr algn="l">
              <a:spcAft>
                <a:spcPts val="0"/>
              </a:spcAft>
            </a:pPr>
            <a:r>
              <a:rPr lang="en-US" sz="1400" b="1">
                <a:effectLst/>
                <a:latin typeface="Century Gothic" panose="020B0502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OF AGRICULTURE AND TECHNOLOGY</a:t>
            </a:r>
            <a:endParaRPr lang="en-PH" sz="1100">
              <a:effectLst/>
              <a:latin typeface="Century Gothic" panose="020B0502020202020204" pitchFamily="34" charset="0"/>
              <a:ea typeface="Times New Roman" panose="02020603050405020304" pitchFamily="18" charset="0"/>
            </a:endParaRPr>
          </a:p>
          <a:p>
            <a:pPr algn="l">
              <a:spcAft>
                <a:spcPts val="0"/>
              </a:spcAft>
            </a:pPr>
            <a:r>
              <a:rPr lang="en-PH" sz="1200" b="1"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PLANNING AND DEVELOPMENT</a:t>
            </a:r>
            <a:r>
              <a:rPr lang="en-PH" sz="1200" b="1" baseline="0"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 SERVICES</a:t>
            </a:r>
            <a:endParaRPr lang="en-PH" sz="10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  <a:p>
            <a:pPr algn="l">
              <a:spcAft>
                <a:spcPts val="0"/>
              </a:spcAft>
            </a:pPr>
            <a:r>
              <a:rPr lang="en-US" sz="1050">
                <a:effectLst/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rPr>
              <a:t>Mandaon, Masbate  | </a:t>
            </a:r>
            <a:r>
              <a:rPr lang="en-US" sz="1050" i="1" u="sng">
                <a:solidFill>
                  <a:srgbClr val="0000FF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rPr>
              <a:t>www.debesmscat.edu.ph</a:t>
            </a:r>
            <a:endParaRPr lang="en-PH" sz="1050"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pic>
        <xdr:nvPicPr>
          <xdr:cNvPr id="10" name="Picture 9" descr="F:\DEBESMSCAT New Logo\NEW LOGO_TRANSPARENT BACKGROUND.png">
            <a:extLst>
              <a:ext uri="{FF2B5EF4-FFF2-40B4-BE49-F238E27FC236}">
                <a16:creationId xmlns:a16="http://schemas.microsoft.com/office/drawing/2014/main" id="{616B1241-ECAD-736E-35A5-704F130F44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68735" y="-4133"/>
            <a:ext cx="672450" cy="740648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  <xdr:twoCellAnchor>
    <xdr:from>
      <xdr:col>0</xdr:col>
      <xdr:colOff>314325</xdr:colOff>
      <xdr:row>36</xdr:row>
      <xdr:rowOff>73139</xdr:rowOff>
    </xdr:from>
    <xdr:to>
      <xdr:col>6</xdr:col>
      <xdr:colOff>14911</xdr:colOff>
      <xdr:row>37</xdr:row>
      <xdr:rowOff>26090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7FB0C548-98A5-4FAF-9690-56D3B77CCC97}"/>
            </a:ext>
          </a:extLst>
        </xdr:cNvPr>
        <xdr:cNvGrpSpPr/>
      </xdr:nvGrpSpPr>
      <xdr:grpSpPr>
        <a:xfrm>
          <a:off x="314325" y="8342496"/>
          <a:ext cx="6194151" cy="1271542"/>
          <a:chOff x="268735" y="-72371"/>
          <a:chExt cx="5058367" cy="1011913"/>
        </a:xfrm>
      </xdr:grpSpPr>
      <xdr:sp macro="" textlink="">
        <xdr:nvSpPr>
          <xdr:cNvPr id="15" name="Text Box 236">
            <a:extLst>
              <a:ext uri="{FF2B5EF4-FFF2-40B4-BE49-F238E27FC236}">
                <a16:creationId xmlns:a16="http://schemas.microsoft.com/office/drawing/2014/main" id="{F0227A96-6AD2-67AE-6B21-B40771486691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5377" y="-72371"/>
            <a:ext cx="4391725" cy="10119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FF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algn="l">
              <a:spcAft>
                <a:spcPts val="0"/>
              </a:spcAft>
            </a:pPr>
            <a:r>
              <a:rPr lang="en-US" sz="1050">
                <a:effectLst/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rPr>
              <a:t>Republic of the Philippines</a:t>
            </a:r>
            <a:endParaRPr lang="en-PH" sz="1050"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l">
              <a:spcAft>
                <a:spcPts val="0"/>
              </a:spcAft>
            </a:pPr>
            <a:r>
              <a:rPr lang="en-US" sz="1400" b="1">
                <a:effectLst/>
                <a:latin typeface="Century Gothic" panose="020B0502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DR. EMILIO B. ESPINOSA, SR. MEMORIAL STATE COLLEGE</a:t>
            </a:r>
            <a:endParaRPr lang="en-PH" sz="1100">
              <a:effectLst/>
              <a:latin typeface="Century Gothic" panose="020B0502020202020204" pitchFamily="34" charset="0"/>
              <a:ea typeface="Times New Roman" panose="02020603050405020304" pitchFamily="18" charset="0"/>
            </a:endParaRPr>
          </a:p>
          <a:p>
            <a:pPr algn="l">
              <a:spcAft>
                <a:spcPts val="0"/>
              </a:spcAft>
            </a:pPr>
            <a:r>
              <a:rPr lang="en-US" sz="1400" b="1">
                <a:effectLst/>
                <a:latin typeface="Century Gothic" panose="020B0502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OF AGRICULTURE AND TECHNOLOGY</a:t>
            </a:r>
            <a:endParaRPr lang="en-PH" sz="1100">
              <a:effectLst/>
              <a:latin typeface="Century Gothic" panose="020B0502020202020204" pitchFamily="34" charset="0"/>
              <a:ea typeface="Times New Roman" panose="02020603050405020304" pitchFamily="18" charset="0"/>
            </a:endParaRPr>
          </a:p>
          <a:p>
            <a:pPr algn="l">
              <a:spcAft>
                <a:spcPts val="0"/>
              </a:spcAft>
            </a:pPr>
            <a:r>
              <a:rPr lang="en-PH" sz="1200" b="1"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PLANNING AND DEVELOPMENT</a:t>
            </a:r>
            <a:r>
              <a:rPr lang="en-PH" sz="1200" b="1" baseline="0"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 SERVICES</a:t>
            </a:r>
            <a:endParaRPr lang="en-PH" sz="10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  <a:p>
            <a:pPr algn="l">
              <a:spcAft>
                <a:spcPts val="0"/>
              </a:spcAft>
            </a:pPr>
            <a:r>
              <a:rPr lang="en-US" sz="1050">
                <a:effectLst/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rPr>
              <a:t>Mandaon, Masbate  | </a:t>
            </a:r>
            <a:r>
              <a:rPr lang="en-US" sz="1050" i="1" u="sng">
                <a:solidFill>
                  <a:srgbClr val="0000FF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rPr>
              <a:t>www.debesmscat.edu.ph</a:t>
            </a:r>
            <a:endParaRPr lang="en-PH" sz="1050"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pic>
        <xdr:nvPicPr>
          <xdr:cNvPr id="16" name="Picture 15" descr="F:\DEBESMSCAT New Logo\NEW LOGO_TRANSPARENT BACKGROUND.png">
            <a:extLst>
              <a:ext uri="{FF2B5EF4-FFF2-40B4-BE49-F238E27FC236}">
                <a16:creationId xmlns:a16="http://schemas.microsoft.com/office/drawing/2014/main" id="{CFC2E796-9794-5510-F434-682EFFD70A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68735" y="-4133"/>
            <a:ext cx="672450" cy="740648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  <xdr:twoCellAnchor>
    <xdr:from>
      <xdr:col>0</xdr:col>
      <xdr:colOff>314325</xdr:colOff>
      <xdr:row>1</xdr:row>
      <xdr:rowOff>73139</xdr:rowOff>
    </xdr:from>
    <xdr:to>
      <xdr:col>6</xdr:col>
      <xdr:colOff>14911</xdr:colOff>
      <xdr:row>2</xdr:row>
      <xdr:rowOff>26090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3D8A697C-96FD-4FD0-8B2D-A2E1421EEA6E}"/>
            </a:ext>
          </a:extLst>
        </xdr:cNvPr>
        <xdr:cNvGrpSpPr/>
      </xdr:nvGrpSpPr>
      <xdr:grpSpPr>
        <a:xfrm>
          <a:off x="314325" y="258669"/>
          <a:ext cx="6194151" cy="1271543"/>
          <a:chOff x="268735" y="-72371"/>
          <a:chExt cx="5058367" cy="1011913"/>
        </a:xfrm>
      </xdr:grpSpPr>
      <xdr:sp macro="" textlink="">
        <xdr:nvSpPr>
          <xdr:cNvPr id="18" name="Text Box 236">
            <a:extLst>
              <a:ext uri="{FF2B5EF4-FFF2-40B4-BE49-F238E27FC236}">
                <a16:creationId xmlns:a16="http://schemas.microsoft.com/office/drawing/2014/main" id="{64D206DD-3F65-5162-F087-C124FA2DDA51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5377" y="-72371"/>
            <a:ext cx="4391725" cy="10119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FF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algn="l">
              <a:spcAft>
                <a:spcPts val="0"/>
              </a:spcAft>
            </a:pPr>
            <a:r>
              <a:rPr lang="en-US" sz="1050">
                <a:effectLst/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rPr>
              <a:t>Republic of the Philippines</a:t>
            </a:r>
            <a:endParaRPr lang="en-PH" sz="1050"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l">
              <a:spcAft>
                <a:spcPts val="0"/>
              </a:spcAft>
            </a:pPr>
            <a:r>
              <a:rPr lang="en-US" sz="1400" b="1">
                <a:effectLst/>
                <a:latin typeface="Century Gothic" panose="020B0502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DR. EMILIO B. ESPINOSA, SR. MEMORIAL STATE COLLEGE</a:t>
            </a:r>
            <a:endParaRPr lang="en-PH" sz="1100">
              <a:effectLst/>
              <a:latin typeface="Century Gothic" panose="020B0502020202020204" pitchFamily="34" charset="0"/>
              <a:ea typeface="Times New Roman" panose="02020603050405020304" pitchFamily="18" charset="0"/>
            </a:endParaRPr>
          </a:p>
          <a:p>
            <a:pPr algn="l">
              <a:spcAft>
                <a:spcPts val="0"/>
              </a:spcAft>
            </a:pPr>
            <a:r>
              <a:rPr lang="en-US" sz="1400" b="1">
                <a:effectLst/>
                <a:latin typeface="Century Gothic" panose="020B0502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OF AGRICULTURE AND TECHNOLOGY</a:t>
            </a:r>
            <a:endParaRPr lang="en-PH" sz="1100">
              <a:effectLst/>
              <a:latin typeface="Century Gothic" panose="020B0502020202020204" pitchFamily="34" charset="0"/>
              <a:ea typeface="Times New Roman" panose="02020603050405020304" pitchFamily="18" charset="0"/>
            </a:endParaRPr>
          </a:p>
          <a:p>
            <a:pPr algn="l">
              <a:spcAft>
                <a:spcPts val="0"/>
              </a:spcAft>
            </a:pPr>
            <a:r>
              <a:rPr lang="en-PH" sz="1200" b="1"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OFFICE</a:t>
            </a:r>
            <a:r>
              <a:rPr lang="en-PH" sz="1200" b="1" baseline="0"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 OF THE PUBLIC INFORMATION</a:t>
            </a:r>
            <a:endParaRPr lang="en-PH" sz="10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  <a:p>
            <a:pPr algn="l">
              <a:spcAft>
                <a:spcPts val="0"/>
              </a:spcAft>
            </a:pPr>
            <a:r>
              <a:rPr lang="en-US" sz="1050">
                <a:effectLst/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rPr>
              <a:t>Mandaon, Masbate  | </a:t>
            </a:r>
            <a:r>
              <a:rPr lang="en-US" sz="1050" i="1" u="sng">
                <a:solidFill>
                  <a:srgbClr val="0000FF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rPr>
              <a:t>www.debesmscat.edu.ph</a:t>
            </a:r>
            <a:endParaRPr lang="en-PH" sz="1050"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pic>
        <xdr:nvPicPr>
          <xdr:cNvPr id="19" name="Picture 18" descr="F:\DEBESMSCAT New Logo\NEW LOGO_TRANSPARENT BACKGROUND.png">
            <a:extLst>
              <a:ext uri="{FF2B5EF4-FFF2-40B4-BE49-F238E27FC236}">
                <a16:creationId xmlns:a16="http://schemas.microsoft.com/office/drawing/2014/main" id="{C8B33897-678E-2465-4A28-D29D744DEA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68735" y="-4133"/>
            <a:ext cx="672450" cy="740648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0</xdr:row>
      <xdr:rowOff>73139</xdr:rowOff>
    </xdr:from>
    <xdr:to>
      <xdr:col>6</xdr:col>
      <xdr:colOff>14911</xdr:colOff>
      <xdr:row>1</xdr:row>
      <xdr:rowOff>26090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GrpSpPr/>
      </xdr:nvGrpSpPr>
      <xdr:grpSpPr>
        <a:xfrm>
          <a:off x="314325" y="73139"/>
          <a:ext cx="6206894" cy="1113536"/>
          <a:chOff x="268735" y="-72371"/>
          <a:chExt cx="5058367" cy="1011913"/>
        </a:xfrm>
      </xdr:grpSpPr>
      <xdr:sp macro="" textlink="">
        <xdr:nvSpPr>
          <xdr:cNvPr id="45" name="Text Box 236">
            <a:extLst>
              <a:ext uri="{FF2B5EF4-FFF2-40B4-BE49-F238E27FC236}">
                <a16:creationId xmlns:a16="http://schemas.microsoft.com/office/drawing/2014/main" id="{00000000-0008-0000-0200-00002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5377" y="-72371"/>
            <a:ext cx="4391725" cy="10119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FF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algn="l">
              <a:spcAft>
                <a:spcPts val="0"/>
              </a:spcAft>
            </a:pPr>
            <a:r>
              <a:rPr lang="en-US" sz="1050">
                <a:effectLst/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rPr>
              <a:t>Republic of the Philippines</a:t>
            </a:r>
            <a:endParaRPr lang="en-PH" sz="1050"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l">
              <a:spcAft>
                <a:spcPts val="0"/>
              </a:spcAft>
            </a:pPr>
            <a:r>
              <a:rPr lang="en-US" sz="1400" b="1">
                <a:effectLst/>
                <a:latin typeface="Century Gothic" panose="020B0502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DR. EMILIO B. ESPINOSA, SR. MEMORIAL STATE COLLEGE</a:t>
            </a:r>
            <a:endParaRPr lang="en-PH" sz="1100">
              <a:effectLst/>
              <a:latin typeface="Century Gothic" panose="020B0502020202020204" pitchFamily="34" charset="0"/>
              <a:ea typeface="Times New Roman" panose="02020603050405020304" pitchFamily="18" charset="0"/>
            </a:endParaRPr>
          </a:p>
          <a:p>
            <a:pPr algn="l">
              <a:spcAft>
                <a:spcPts val="0"/>
              </a:spcAft>
            </a:pPr>
            <a:r>
              <a:rPr lang="en-US" sz="1400" b="1">
                <a:effectLst/>
                <a:latin typeface="Century Gothic" panose="020B0502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OF AGRICULTURE AND TECHNOLOGY</a:t>
            </a:r>
            <a:endParaRPr lang="en-PH" sz="1100">
              <a:effectLst/>
              <a:latin typeface="Century Gothic" panose="020B0502020202020204" pitchFamily="34" charset="0"/>
              <a:ea typeface="Times New Roman" panose="02020603050405020304" pitchFamily="18" charset="0"/>
            </a:endParaRPr>
          </a:p>
          <a:p>
            <a:pPr algn="l">
              <a:spcAft>
                <a:spcPts val="0"/>
              </a:spcAft>
            </a:pPr>
            <a:r>
              <a:rPr lang="en-US" sz="1050">
                <a:effectLst/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rPr>
              <a:t>OFFICE</a:t>
            </a:r>
            <a:r>
              <a:rPr lang="en-US" sz="1050" baseline="0">
                <a:effectLst/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rPr>
              <a:t> OF THE PUBLIC INFORMATION</a:t>
            </a:r>
            <a:endParaRPr lang="en-US" sz="1050"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l">
              <a:spcAft>
                <a:spcPts val="0"/>
              </a:spcAft>
            </a:pPr>
            <a:r>
              <a:rPr lang="en-US" sz="1050">
                <a:effectLst/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rPr>
              <a:t>Mandaon, Masbate  | </a:t>
            </a:r>
            <a:r>
              <a:rPr lang="en-US" sz="1050" i="1" u="sng">
                <a:solidFill>
                  <a:srgbClr val="0000FF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rPr>
              <a:t>www.debesmscat.edu.ph</a:t>
            </a:r>
            <a:endParaRPr lang="en-PH" sz="1050"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pic>
        <xdr:nvPicPr>
          <xdr:cNvPr id="46" name="Picture 45" descr="F:\DEBESMSCAT New Logo\NEW LOGO_TRANSPARENT BACKGROUND.png">
            <a:extLst>
              <a:ext uri="{FF2B5EF4-FFF2-40B4-BE49-F238E27FC236}">
                <a16:creationId xmlns:a16="http://schemas.microsoft.com/office/drawing/2014/main" id="{00000000-0008-0000-0200-00002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68735" y="-4133"/>
            <a:ext cx="672450" cy="740648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75785</xdr:colOff>
      <xdr:row>0</xdr:row>
      <xdr:rowOff>281608</xdr:rowOff>
    </xdr:from>
    <xdr:to>
      <xdr:col>4</xdr:col>
      <xdr:colOff>762000</xdr:colOff>
      <xdr:row>1</xdr:row>
      <xdr:rowOff>38100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75785" y="281608"/>
          <a:ext cx="6437658" cy="1075083"/>
          <a:chOff x="268735" y="-112654"/>
          <a:chExt cx="5058367" cy="1052196"/>
        </a:xfrm>
      </xdr:grpSpPr>
      <xdr:sp macro="" textlink="">
        <xdr:nvSpPr>
          <xdr:cNvPr id="3" name="Text Box 236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5377" y="-72371"/>
            <a:ext cx="4391725" cy="10119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FF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algn="l">
              <a:spcAft>
                <a:spcPts val="0"/>
              </a:spcAft>
            </a:pPr>
            <a:r>
              <a:rPr lang="en-US" sz="1050">
                <a:effectLst/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rPr>
              <a:t>Republic of the Philippines</a:t>
            </a:r>
            <a:endParaRPr lang="en-PH" sz="1050"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l">
              <a:spcAft>
                <a:spcPts val="0"/>
              </a:spcAft>
            </a:pPr>
            <a:r>
              <a:rPr lang="en-US" sz="1200" b="1">
                <a:effectLst/>
                <a:latin typeface="Century Gothic" panose="020B0502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DR. EMILIO B. ESPINOSA, SR. MEMORIAL STATE COLLEGE</a:t>
            </a:r>
            <a:endParaRPr lang="en-PH" sz="1050">
              <a:effectLst/>
              <a:latin typeface="Century Gothic" panose="020B0502020202020204" pitchFamily="34" charset="0"/>
              <a:ea typeface="Times New Roman" panose="02020603050405020304" pitchFamily="18" charset="0"/>
            </a:endParaRPr>
          </a:p>
          <a:p>
            <a:pPr algn="l">
              <a:spcAft>
                <a:spcPts val="0"/>
              </a:spcAft>
            </a:pPr>
            <a:r>
              <a:rPr lang="en-US" sz="1200" b="1">
                <a:effectLst/>
                <a:latin typeface="Century Gothic" panose="020B0502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OF AGRICULTURE AND TECHNOLOGY</a:t>
            </a:r>
            <a:endParaRPr lang="en-PH" sz="1050">
              <a:effectLst/>
              <a:latin typeface="Century Gothic" panose="020B0502020202020204" pitchFamily="34" charset="0"/>
              <a:ea typeface="Times New Roman" panose="02020603050405020304" pitchFamily="18" charset="0"/>
            </a:endParaRPr>
          </a:p>
          <a:p>
            <a:pPr algn="l">
              <a:spcAft>
                <a:spcPts val="0"/>
              </a:spcAft>
            </a:pPr>
            <a:r>
              <a:rPr lang="en-PH" sz="1100" b="1">
                <a:effectLst/>
                <a:latin typeface="Arial" panose="020B0604020202020204" pitchFamily="34" charset="0"/>
                <a:ea typeface="Times New Roman" panose="02020603050405020304" pitchFamily="18" charset="0"/>
                <a:cs typeface="+mn-cs"/>
              </a:rPr>
              <a:t>OFFICE</a:t>
            </a:r>
            <a:r>
              <a:rPr lang="en-PH" sz="1100" b="1" baseline="0">
                <a:effectLst/>
                <a:latin typeface="Arial" panose="020B0604020202020204" pitchFamily="34" charset="0"/>
                <a:ea typeface="Times New Roman" panose="02020603050405020304" pitchFamily="18" charset="0"/>
                <a:cs typeface="+mn-cs"/>
              </a:rPr>
              <a:t> OF THE PUBLIC INFORMATION</a:t>
            </a:r>
            <a:endParaRPr lang="en-PH" sz="1100" b="1">
              <a:effectLst/>
              <a:latin typeface="Arial" panose="020B0604020202020204" pitchFamily="34" charset="0"/>
              <a:ea typeface="Times New Roman" panose="02020603050405020304" pitchFamily="18" charset="0"/>
              <a:cs typeface="+mn-cs"/>
            </a:endParaRPr>
          </a:p>
          <a:p>
            <a:pPr algn="l">
              <a:spcAft>
                <a:spcPts val="0"/>
              </a:spcAft>
            </a:pPr>
            <a:r>
              <a:rPr lang="en-US" sz="1050">
                <a:effectLst/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rPr>
              <a:t>Mandaon, Masbate  | </a:t>
            </a:r>
            <a:r>
              <a:rPr lang="en-US" sz="1050" i="1" u="sng">
                <a:solidFill>
                  <a:srgbClr val="0000FF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rPr>
              <a:t>www.debesmscat.edu.ph</a:t>
            </a:r>
            <a:endParaRPr lang="en-PH" sz="1050"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pic>
        <xdr:nvPicPr>
          <xdr:cNvPr id="4" name="Picture 3" descr="F:\DEBESMSCAT New Logo\NEW LOGO_TRANSPARENT BACKGROUND.png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68735" y="-112654"/>
            <a:ext cx="672450" cy="849169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  <xdr:twoCellAnchor>
    <xdr:from>
      <xdr:col>3</xdr:col>
      <xdr:colOff>466967</xdr:colOff>
      <xdr:row>14</xdr:row>
      <xdr:rowOff>71972</xdr:rowOff>
    </xdr:from>
    <xdr:to>
      <xdr:col>4</xdr:col>
      <xdr:colOff>656896</xdr:colOff>
      <xdr:row>21</xdr:row>
      <xdr:rowOff>8281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4947001" y="4302386"/>
          <a:ext cx="1306654" cy="14077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Rating Scale:</a:t>
          </a:r>
        </a:p>
        <a:p>
          <a:endParaRPr lang="en-US" sz="1050" b="1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US" sz="105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Efficiency: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</a:t>
          </a:r>
          <a:r>
            <a:rPr lang="en-US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</a:t>
          </a:r>
          <a:r>
            <a:rPr lang="en-GB" sz="105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100% attendance</a:t>
          </a:r>
          <a:endParaRPr lang="en-GB" sz="105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4</a:t>
          </a:r>
          <a:r>
            <a:rPr lang="en-US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–  75-99%</a:t>
          </a:r>
          <a:endParaRPr lang="en-US" sz="1050" b="1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US" sz="105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</a:t>
          </a:r>
          <a:r>
            <a:rPr lang="en-US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– 63-74%</a:t>
          </a:r>
        </a:p>
        <a:p>
          <a:r>
            <a:rPr lang="en-US" sz="105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</a:t>
          </a:r>
          <a:r>
            <a:rPr lang="en-US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– 51-79%</a:t>
          </a:r>
        </a:p>
        <a:p>
          <a:r>
            <a:rPr lang="en-US" sz="105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</a:t>
          </a:r>
          <a:r>
            <a:rPr lang="en-US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–  60% and below</a:t>
          </a:r>
          <a:endParaRPr lang="en-US" sz="1050" b="1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75785</xdr:colOff>
      <xdr:row>0</xdr:row>
      <xdr:rowOff>186358</xdr:rowOff>
    </xdr:from>
    <xdr:to>
      <xdr:col>6</xdr:col>
      <xdr:colOff>0</xdr:colOff>
      <xdr:row>1</xdr:row>
      <xdr:rowOff>38100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5A50CD0-B28C-4E29-B9D6-8F63BB0437CF}"/>
            </a:ext>
          </a:extLst>
        </xdr:cNvPr>
        <xdr:cNvGrpSpPr/>
      </xdr:nvGrpSpPr>
      <xdr:grpSpPr>
        <a:xfrm>
          <a:off x="75785" y="186358"/>
          <a:ext cx="8046239" cy="1169554"/>
          <a:chOff x="268735" y="-112654"/>
          <a:chExt cx="5058367" cy="1052196"/>
        </a:xfrm>
      </xdr:grpSpPr>
      <xdr:sp macro="" textlink="">
        <xdr:nvSpPr>
          <xdr:cNvPr id="3" name="Text Box 236">
            <a:extLst>
              <a:ext uri="{FF2B5EF4-FFF2-40B4-BE49-F238E27FC236}">
                <a16:creationId xmlns:a16="http://schemas.microsoft.com/office/drawing/2014/main" id="{776E672A-6DD0-1A3A-BFA1-4CD55EE1AC9A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5377" y="-72371"/>
            <a:ext cx="4391725" cy="10119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FF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algn="l">
              <a:spcAft>
                <a:spcPts val="0"/>
              </a:spcAft>
            </a:pPr>
            <a:r>
              <a:rPr lang="en-US" sz="1050">
                <a:effectLst/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rPr>
              <a:t>Republic of the Philippines</a:t>
            </a:r>
            <a:endParaRPr lang="en-PH" sz="1050"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l">
              <a:spcAft>
                <a:spcPts val="0"/>
              </a:spcAft>
            </a:pPr>
            <a:r>
              <a:rPr lang="en-US" sz="1200" b="1">
                <a:effectLst/>
                <a:latin typeface="Century Gothic" panose="020B0502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DR. EMILIO B. ESPINOSA, SR. MEMORIAL STATE COLLEGE</a:t>
            </a:r>
            <a:endParaRPr lang="en-PH" sz="1050">
              <a:effectLst/>
              <a:latin typeface="Century Gothic" panose="020B0502020202020204" pitchFamily="34" charset="0"/>
              <a:ea typeface="Times New Roman" panose="02020603050405020304" pitchFamily="18" charset="0"/>
            </a:endParaRPr>
          </a:p>
          <a:p>
            <a:pPr algn="l">
              <a:spcAft>
                <a:spcPts val="0"/>
              </a:spcAft>
            </a:pPr>
            <a:r>
              <a:rPr lang="en-US" sz="1200" b="1">
                <a:effectLst/>
                <a:latin typeface="Century Gothic" panose="020B0502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OF AGRICULTURE AND TECHNOLOGY</a:t>
            </a:r>
            <a:endParaRPr lang="en-PH" sz="1050">
              <a:effectLst/>
              <a:latin typeface="Century Gothic" panose="020B0502020202020204" pitchFamily="34" charset="0"/>
              <a:ea typeface="Times New Roman" panose="02020603050405020304" pitchFamily="18" charset="0"/>
            </a:endParaRPr>
          </a:p>
          <a:p>
            <a:pPr algn="l">
              <a:spcAft>
                <a:spcPts val="0"/>
              </a:spcAft>
            </a:pPr>
            <a:r>
              <a:rPr lang="en-PH" sz="1100" b="1">
                <a:effectLst/>
                <a:latin typeface="Arial" panose="020B0604020202020204" pitchFamily="34" charset="0"/>
                <a:ea typeface="Times New Roman" panose="02020603050405020304" pitchFamily="18" charset="0"/>
                <a:cs typeface="+mn-cs"/>
              </a:rPr>
              <a:t>OFFICE</a:t>
            </a:r>
            <a:r>
              <a:rPr lang="en-PH" sz="1100" b="1" baseline="0">
                <a:effectLst/>
                <a:latin typeface="Arial" panose="020B0604020202020204" pitchFamily="34" charset="0"/>
                <a:ea typeface="Times New Roman" panose="02020603050405020304" pitchFamily="18" charset="0"/>
                <a:cs typeface="+mn-cs"/>
              </a:rPr>
              <a:t> OF THE PUBLIC INFORMATION</a:t>
            </a:r>
            <a:endParaRPr lang="en-PH" sz="1100" b="1">
              <a:effectLst/>
              <a:latin typeface="Arial" panose="020B0604020202020204" pitchFamily="34" charset="0"/>
              <a:ea typeface="Times New Roman" panose="02020603050405020304" pitchFamily="18" charset="0"/>
              <a:cs typeface="+mn-cs"/>
            </a:endParaRPr>
          </a:p>
          <a:p>
            <a:pPr algn="l">
              <a:spcAft>
                <a:spcPts val="0"/>
              </a:spcAft>
            </a:pPr>
            <a:r>
              <a:rPr lang="en-US" sz="1050">
                <a:effectLst/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rPr>
              <a:t>Mandaon, Masbate  | </a:t>
            </a:r>
            <a:r>
              <a:rPr lang="en-US" sz="1050" i="1" u="sng">
                <a:solidFill>
                  <a:srgbClr val="0000FF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rPr>
              <a:t>www.debesmscat.edu.ph</a:t>
            </a:r>
            <a:endParaRPr lang="en-PH" sz="1050"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pic>
        <xdr:nvPicPr>
          <xdr:cNvPr id="4" name="Picture 3" descr="F:\DEBESMSCAT New Logo\NEW LOGO_TRANSPARENT BACKGROUND.png">
            <a:extLst>
              <a:ext uri="{FF2B5EF4-FFF2-40B4-BE49-F238E27FC236}">
                <a16:creationId xmlns:a16="http://schemas.microsoft.com/office/drawing/2014/main" id="{AD7871D2-992D-8B29-A8BB-26DD3F3689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68735" y="-112654"/>
            <a:ext cx="672450" cy="849169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  <xdr:twoCellAnchor>
    <xdr:from>
      <xdr:col>4</xdr:col>
      <xdr:colOff>466967</xdr:colOff>
      <xdr:row>18</xdr:row>
      <xdr:rowOff>71972</xdr:rowOff>
    </xdr:from>
    <xdr:to>
      <xdr:col>5</xdr:col>
      <xdr:colOff>656896</xdr:colOff>
      <xdr:row>25</xdr:row>
      <xdr:rowOff>8281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989834B-3209-46ED-B643-A659C3B6152D}"/>
            </a:ext>
          </a:extLst>
        </xdr:cNvPr>
        <xdr:cNvSpPr txBox="1"/>
      </xdr:nvSpPr>
      <xdr:spPr>
        <a:xfrm>
          <a:off x="4943717" y="5082122"/>
          <a:ext cx="1304354" cy="14031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Rating Scale:</a:t>
          </a:r>
        </a:p>
        <a:p>
          <a:endParaRPr lang="en-US" sz="1050" b="1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US" sz="105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Efficiency: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</a:t>
          </a:r>
          <a:r>
            <a:rPr lang="en-US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</a:t>
          </a:r>
          <a:r>
            <a:rPr lang="en-GB" sz="105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100% attendance</a:t>
          </a:r>
          <a:endParaRPr lang="en-GB" sz="105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4</a:t>
          </a:r>
          <a:r>
            <a:rPr lang="en-US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–  75-99%</a:t>
          </a:r>
          <a:endParaRPr lang="en-US" sz="1050" b="1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US" sz="105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</a:t>
          </a:r>
          <a:r>
            <a:rPr lang="en-US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– 63-74%</a:t>
          </a:r>
        </a:p>
        <a:p>
          <a:r>
            <a:rPr lang="en-US" sz="105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</a:t>
          </a:r>
          <a:r>
            <a:rPr lang="en-US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– 51-79%</a:t>
          </a:r>
        </a:p>
        <a:p>
          <a:r>
            <a:rPr lang="en-US" sz="105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</a:t>
          </a:r>
          <a:r>
            <a:rPr lang="en-US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–  60% and below</a:t>
          </a:r>
          <a:endParaRPr lang="en-US" sz="1050" b="1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133009</xdr:colOff>
      <xdr:row>1</xdr:row>
      <xdr:rowOff>3313</xdr:rowOff>
    </xdr:from>
    <xdr:to>
      <xdr:col>4</xdr:col>
      <xdr:colOff>770283</xdr:colOff>
      <xdr:row>6</xdr:row>
      <xdr:rowOff>91109</xdr:rowOff>
    </xdr:to>
    <xdr:sp macro="" textlink="">
      <xdr:nvSpPr>
        <xdr:cNvPr id="2" name="Text Box 236">
          <a:extLst>
            <a:ext uri="{FF2B5EF4-FFF2-40B4-BE49-F238E27FC236}">
              <a16:creationId xmlns:a16="http://schemas.microsoft.com/office/drawing/2014/main" id="{E63A82D7-15AE-4B40-94D6-C616FF3B5F21}"/>
            </a:ext>
          </a:extLst>
        </xdr:cNvPr>
        <xdr:cNvSpPr txBox="1">
          <a:spLocks noChangeArrowheads="1"/>
        </xdr:cNvSpPr>
      </xdr:nvSpPr>
      <xdr:spPr bwMode="auto">
        <a:xfrm>
          <a:off x="1247434" y="193813"/>
          <a:ext cx="5456924" cy="1040296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FF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l">
            <a:spcAft>
              <a:spcPts val="0"/>
            </a:spcAft>
          </a:pPr>
          <a:r>
            <a:rPr lang="en-US" sz="1050"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Republic of the Philippines</a:t>
          </a:r>
          <a:endParaRPr lang="en-PH" sz="1050">
            <a:effectLst/>
            <a:latin typeface="Times New Roman" panose="02020603050405020304" pitchFamily="18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l">
            <a:spcAft>
              <a:spcPts val="0"/>
            </a:spcAft>
          </a:pPr>
          <a:r>
            <a:rPr lang="en-US" sz="1200" b="1">
              <a:effectLst/>
              <a:latin typeface="Century Gothic" panose="020B0502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DR. EMILIO B. ESPINOSA, SR. MEMORIAL STATE COLLEGE</a:t>
          </a:r>
          <a:endParaRPr lang="en-PH" sz="1050">
            <a:effectLst/>
            <a:latin typeface="Century Gothic" panose="020B0502020202020204" pitchFamily="34" charset="0"/>
            <a:ea typeface="Times New Roman" panose="02020603050405020304" pitchFamily="18" charset="0"/>
          </a:endParaRPr>
        </a:p>
        <a:p>
          <a:pPr algn="l">
            <a:spcAft>
              <a:spcPts val="0"/>
            </a:spcAft>
          </a:pPr>
          <a:r>
            <a:rPr lang="en-US" sz="1200" b="1">
              <a:effectLst/>
              <a:latin typeface="Century Gothic" panose="020B0502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OF AGRICULTURE AND TECHNOLOGY</a:t>
          </a:r>
          <a:endParaRPr lang="en-PH" sz="1050">
            <a:effectLst/>
            <a:latin typeface="Century Gothic" panose="020B0502020202020204" pitchFamily="34" charset="0"/>
            <a:ea typeface="Times New Roman" panose="02020603050405020304" pitchFamily="18" charset="0"/>
          </a:endParaRPr>
        </a:p>
        <a:p>
          <a:pPr algn="l">
            <a:spcAft>
              <a:spcPts val="0"/>
            </a:spcAft>
          </a:pPr>
          <a:r>
            <a:rPr lang="en-PH" sz="1100" b="1">
              <a:effectLst/>
              <a:latin typeface="Arial" panose="020B0604020202020204" pitchFamily="34" charset="0"/>
              <a:ea typeface="Times New Roman" panose="02020603050405020304" pitchFamily="18" charset="0"/>
              <a:cs typeface="+mn-cs"/>
            </a:rPr>
            <a:t>OFFICE</a:t>
          </a:r>
          <a:r>
            <a:rPr lang="en-PH" sz="1100" b="1" baseline="0">
              <a:effectLst/>
              <a:latin typeface="Arial" panose="020B0604020202020204" pitchFamily="34" charset="0"/>
              <a:ea typeface="Times New Roman" panose="02020603050405020304" pitchFamily="18" charset="0"/>
              <a:cs typeface="+mn-cs"/>
            </a:rPr>
            <a:t> OF THE PUBLIC INFORMATION</a:t>
          </a:r>
          <a:endParaRPr lang="en-PH" sz="1100" b="1">
            <a:effectLst/>
            <a:latin typeface="Arial" panose="020B0604020202020204" pitchFamily="34" charset="0"/>
            <a:ea typeface="Times New Roman" panose="02020603050405020304" pitchFamily="18" charset="0"/>
            <a:cs typeface="+mn-cs"/>
          </a:endParaRPr>
        </a:p>
        <a:p>
          <a:pPr algn="l">
            <a:spcAft>
              <a:spcPts val="0"/>
            </a:spcAft>
          </a:pPr>
          <a:r>
            <a:rPr lang="en-US" sz="1050"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Mandaon, Masbate  | </a:t>
          </a:r>
          <a:r>
            <a:rPr lang="en-US" sz="1050" i="1" u="sng">
              <a:solidFill>
                <a:srgbClr val="0000FF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www.debesmscat.edu.ph</a:t>
          </a:r>
          <a:endParaRPr lang="en-PH" sz="1050">
            <a:effectLst/>
            <a:latin typeface="Times New Roman" panose="02020603050405020304" pitchFamily="18" charset="0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419100</xdr:colOff>
      <xdr:row>0</xdr:row>
      <xdr:rowOff>152400</xdr:rowOff>
    </xdr:from>
    <xdr:to>
      <xdr:col>1</xdr:col>
      <xdr:colOff>140226</xdr:colOff>
      <xdr:row>5</xdr:row>
      <xdr:rowOff>72887</xdr:rowOff>
    </xdr:to>
    <xdr:pic>
      <xdr:nvPicPr>
        <xdr:cNvPr id="3" name="Picture 2" descr="F:\DEBESMSCAT New Logo\NEW LOGO_TRANSPARENT BACKGROUND.png">
          <a:extLst>
            <a:ext uri="{FF2B5EF4-FFF2-40B4-BE49-F238E27FC236}">
              <a16:creationId xmlns:a16="http://schemas.microsoft.com/office/drawing/2014/main" id="{C541BBC8-F16B-4948-9D26-16C89E4CE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52400"/>
          <a:ext cx="835551" cy="87298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2131588</xdr:colOff>
      <xdr:row>58</xdr:row>
      <xdr:rowOff>115366</xdr:rowOff>
    </xdr:from>
    <xdr:to>
      <xdr:col>5</xdr:col>
      <xdr:colOff>1022516</xdr:colOff>
      <xdr:row>66</xdr:row>
      <xdr:rowOff>27215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BFF520-D818-2AD8-5764-55AFB5074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52374" y="12960509"/>
          <a:ext cx="3367678" cy="147667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305180</xdr:colOff>
      <xdr:row>0</xdr:row>
      <xdr:rowOff>187649</xdr:rowOff>
    </xdr:from>
    <xdr:to>
      <xdr:col>6</xdr:col>
      <xdr:colOff>311728</xdr:colOff>
      <xdr:row>9</xdr:row>
      <xdr:rowOff>51954</xdr:rowOff>
    </xdr:to>
    <xdr:sp macro="" textlink="">
      <xdr:nvSpPr>
        <xdr:cNvPr id="2" name="Text Box 236">
          <a:extLst>
            <a:ext uri="{FF2B5EF4-FFF2-40B4-BE49-F238E27FC236}">
              <a16:creationId xmlns:a16="http://schemas.microsoft.com/office/drawing/2014/main" id="{2CC7ECB5-B7DC-44C9-97E2-72F1E446B723}"/>
            </a:ext>
          </a:extLst>
        </xdr:cNvPr>
        <xdr:cNvSpPr txBox="1">
          <a:spLocks noChangeArrowheads="1"/>
        </xdr:cNvSpPr>
      </xdr:nvSpPr>
      <xdr:spPr bwMode="auto">
        <a:xfrm>
          <a:off x="2556544" y="187649"/>
          <a:ext cx="5219320" cy="157880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FF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l">
            <a:spcAft>
              <a:spcPts val="0"/>
            </a:spcAft>
          </a:pPr>
          <a:r>
            <a:rPr lang="en-US" sz="1050"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Republic of the Philippines</a:t>
          </a:r>
          <a:endParaRPr lang="en-PH" sz="1050">
            <a:effectLst/>
            <a:latin typeface="Times New Roman" panose="02020603050405020304" pitchFamily="18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l">
            <a:spcAft>
              <a:spcPts val="0"/>
            </a:spcAft>
          </a:pPr>
          <a:r>
            <a:rPr lang="en-US" sz="1200" b="1">
              <a:effectLst/>
              <a:latin typeface="Century Gothic" panose="020B0502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DR. EMILIO B. ESPINOSA, SR. MEMORIAL STATE COLLEGE</a:t>
          </a:r>
          <a:endParaRPr lang="en-PH" sz="1050">
            <a:effectLst/>
            <a:latin typeface="Century Gothic" panose="020B0502020202020204" pitchFamily="34" charset="0"/>
            <a:ea typeface="Times New Roman" panose="02020603050405020304" pitchFamily="18" charset="0"/>
          </a:endParaRPr>
        </a:p>
        <a:p>
          <a:pPr algn="l">
            <a:spcAft>
              <a:spcPts val="0"/>
            </a:spcAft>
          </a:pPr>
          <a:r>
            <a:rPr lang="en-US" sz="1200" b="1">
              <a:effectLst/>
              <a:latin typeface="Century Gothic" panose="020B0502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OF AGRICULTURE AND TECHNOLOGY</a:t>
          </a:r>
          <a:endParaRPr lang="en-PH" sz="1050">
            <a:effectLst/>
            <a:latin typeface="Century Gothic" panose="020B0502020202020204" pitchFamily="34" charset="0"/>
            <a:ea typeface="Times New Roman" panose="02020603050405020304" pitchFamily="18" charset="0"/>
          </a:endParaRPr>
        </a:p>
        <a:p>
          <a:pPr algn="l">
            <a:spcAft>
              <a:spcPts val="0"/>
            </a:spcAft>
          </a:pPr>
          <a:r>
            <a:rPr lang="en-PH" sz="1100" b="1">
              <a:effectLst/>
              <a:latin typeface="Arial" panose="020B0604020202020204" pitchFamily="34" charset="0"/>
              <a:ea typeface="Times New Roman" panose="02020603050405020304" pitchFamily="18" charset="0"/>
              <a:cs typeface="+mn-cs"/>
            </a:rPr>
            <a:t>OFFICE</a:t>
          </a:r>
          <a:r>
            <a:rPr lang="en-PH" sz="1100" b="1" baseline="0">
              <a:effectLst/>
              <a:latin typeface="Arial" panose="020B0604020202020204" pitchFamily="34" charset="0"/>
              <a:ea typeface="Times New Roman" panose="02020603050405020304" pitchFamily="18" charset="0"/>
              <a:cs typeface="+mn-cs"/>
            </a:rPr>
            <a:t> OF THE PUBLIC INFORMATION</a:t>
          </a:r>
          <a:endParaRPr lang="en-PH" sz="1100" b="1">
            <a:effectLst/>
            <a:latin typeface="Arial" panose="020B0604020202020204" pitchFamily="34" charset="0"/>
            <a:ea typeface="Times New Roman" panose="02020603050405020304" pitchFamily="18" charset="0"/>
            <a:cs typeface="+mn-cs"/>
          </a:endParaRPr>
        </a:p>
        <a:p>
          <a:pPr algn="l">
            <a:spcAft>
              <a:spcPts val="0"/>
            </a:spcAft>
          </a:pPr>
          <a:r>
            <a:rPr lang="en-US" sz="1050"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Mandaon, Masbate  | </a:t>
          </a:r>
          <a:r>
            <a:rPr lang="en-US" sz="1050" i="1" u="sng">
              <a:solidFill>
                <a:srgbClr val="0000FF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www.debesmscat.edu.ph</a:t>
          </a:r>
          <a:endParaRPr lang="en-PH" sz="1050">
            <a:effectLst/>
            <a:latin typeface="Times New Roman" panose="02020603050405020304" pitchFamily="18" charset="0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520348</xdr:colOff>
      <xdr:row>0</xdr:row>
      <xdr:rowOff>30926</xdr:rowOff>
    </xdr:from>
    <xdr:to>
      <xdr:col>2</xdr:col>
      <xdr:colOff>121227</xdr:colOff>
      <xdr:row>7</xdr:row>
      <xdr:rowOff>0</xdr:rowOff>
    </xdr:to>
    <xdr:pic>
      <xdr:nvPicPr>
        <xdr:cNvPr id="3" name="Picture 2" descr="F:\DEBESMSCAT New Logo\NEW LOGO_TRANSPARENT BACKGROUND.png">
          <a:extLst>
            <a:ext uri="{FF2B5EF4-FFF2-40B4-BE49-F238E27FC236}">
              <a16:creationId xmlns:a16="http://schemas.microsoft.com/office/drawing/2014/main" id="{1A12D16B-DC65-4C64-BFCF-4B237CC1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575" y="30926"/>
          <a:ext cx="1350016" cy="130257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700061</xdr:colOff>
      <xdr:row>47</xdr:row>
      <xdr:rowOff>126318</xdr:rowOff>
    </xdr:from>
    <xdr:to>
      <xdr:col>7</xdr:col>
      <xdr:colOff>1150010</xdr:colOff>
      <xdr:row>56</xdr:row>
      <xdr:rowOff>187445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22AB49A-ACB1-BB34-BAD0-730E1908D2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1682"/>
        <a:stretch>
          <a:fillRect/>
        </a:stretch>
      </xdr:blipFill>
      <xdr:spPr>
        <a:xfrm>
          <a:off x="5860879" y="10846273"/>
          <a:ext cx="4259949" cy="18622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4D4B1-7446-445C-AABC-BB1C709043D2}">
  <sheetPr>
    <tabColor theme="5" tint="0.39997558519241921"/>
    <pageSetUpPr fitToPage="1"/>
  </sheetPr>
  <dimension ref="A2:G123"/>
  <sheetViews>
    <sheetView view="pageBreakPreview" topLeftCell="A10" zoomScale="115" zoomScaleNormal="95" zoomScaleSheetLayoutView="115" workbookViewId="0">
      <selection activeCell="A26" sqref="A26:A27"/>
    </sheetView>
  </sheetViews>
  <sheetFormatPr defaultRowHeight="14.4" x14ac:dyDescent="0.3"/>
  <cols>
    <col min="1" max="1" width="20.5546875" customWidth="1"/>
    <col min="2" max="2" width="12.88671875" customWidth="1"/>
    <col min="3" max="3" width="18.6640625" customWidth="1"/>
    <col min="4" max="4" width="19.44140625" customWidth="1"/>
    <col min="5" max="5" width="12.6640625" customWidth="1"/>
    <col min="6" max="6" width="10.5546875" customWidth="1"/>
    <col min="7" max="7" width="14.6640625" customWidth="1"/>
  </cols>
  <sheetData>
    <row r="2" spans="1:7" ht="104.25" customHeight="1" x14ac:dyDescent="0.3">
      <c r="A2" s="100"/>
      <c r="B2" s="100"/>
      <c r="C2" s="100"/>
      <c r="D2" s="100"/>
      <c r="E2" s="100"/>
      <c r="F2" s="100"/>
      <c r="G2" s="100"/>
    </row>
    <row r="3" spans="1:7" x14ac:dyDescent="0.3">
      <c r="A3" s="1"/>
      <c r="B3" s="1"/>
      <c r="C3" s="1"/>
      <c r="D3" s="1"/>
      <c r="E3" s="1"/>
      <c r="F3" s="1"/>
      <c r="G3" s="1"/>
    </row>
    <row r="4" spans="1:7" ht="18" customHeight="1" x14ac:dyDescent="0.3">
      <c r="A4" s="101" t="s">
        <v>0</v>
      </c>
      <c r="B4" s="101"/>
      <c r="C4" s="101"/>
      <c r="D4" s="101"/>
      <c r="E4" s="101"/>
      <c r="F4" s="101"/>
      <c r="G4" s="101"/>
    </row>
    <row r="5" spans="1:7" x14ac:dyDescent="0.3">
      <c r="A5" s="102" t="s">
        <v>280</v>
      </c>
      <c r="B5" s="102"/>
      <c r="C5" s="102"/>
      <c r="D5" s="102"/>
      <c r="E5" s="102"/>
      <c r="F5" s="102"/>
      <c r="G5" s="102"/>
    </row>
    <row r="6" spans="1:7" x14ac:dyDescent="0.3">
      <c r="A6" s="5" t="s">
        <v>18</v>
      </c>
      <c r="B6" s="102"/>
      <c r="C6" s="102"/>
      <c r="D6" s="102"/>
      <c r="E6" s="102"/>
      <c r="F6" s="102"/>
      <c r="G6" s="102"/>
    </row>
    <row r="7" spans="1:7" ht="15" thickBot="1" x14ac:dyDescent="0.35">
      <c r="A7" s="5"/>
      <c r="B7" s="5"/>
      <c r="C7" s="5"/>
      <c r="D7" s="5"/>
      <c r="E7" s="5"/>
      <c r="F7" s="5"/>
      <c r="G7" s="5"/>
    </row>
    <row r="8" spans="1:7" ht="43.5" customHeight="1" thickBot="1" x14ac:dyDescent="0.35">
      <c r="A8" s="130" t="s">
        <v>16</v>
      </c>
      <c r="B8" s="131" t="s">
        <v>1</v>
      </c>
      <c r="C8" s="131" t="s">
        <v>2</v>
      </c>
      <c r="D8" s="131" t="s">
        <v>3</v>
      </c>
      <c r="E8" s="131" t="s">
        <v>4</v>
      </c>
      <c r="F8" s="131" t="s">
        <v>5</v>
      </c>
      <c r="G8" s="62" t="s">
        <v>6</v>
      </c>
    </row>
    <row r="9" spans="1:7" x14ac:dyDescent="0.3">
      <c r="A9" s="135" t="str">
        <f>A26</f>
        <v>GENESIS A. TUMBAGA</v>
      </c>
      <c r="B9" s="132" t="s">
        <v>283</v>
      </c>
      <c r="C9" s="132"/>
      <c r="D9" s="133" t="s">
        <v>284</v>
      </c>
      <c r="E9" s="132"/>
      <c r="F9" s="132"/>
      <c r="G9" s="106" t="s">
        <v>88</v>
      </c>
    </row>
    <row r="10" spans="1:7" x14ac:dyDescent="0.3">
      <c r="A10" s="136"/>
      <c r="B10" s="7" t="s">
        <v>282</v>
      </c>
      <c r="C10" s="38"/>
      <c r="D10" s="38" t="s">
        <v>285</v>
      </c>
      <c r="E10" s="134"/>
      <c r="F10" s="71"/>
      <c r="G10" s="106"/>
    </row>
    <row r="11" spans="1:7" x14ac:dyDescent="0.3">
      <c r="A11" s="129"/>
      <c r="B11" s="7" t="s">
        <v>281</v>
      </c>
      <c r="C11" s="38"/>
      <c r="D11" s="38" t="s">
        <v>286</v>
      </c>
      <c r="E11" s="134"/>
      <c r="F11" s="71"/>
      <c r="G11" s="106"/>
    </row>
    <row r="12" spans="1:7" x14ac:dyDescent="0.3">
      <c r="A12" s="129"/>
      <c r="B12" s="7" t="s">
        <v>19</v>
      </c>
      <c r="C12" s="38"/>
      <c r="D12" s="38" t="s">
        <v>43</v>
      </c>
      <c r="E12" s="134"/>
      <c r="F12" s="71"/>
      <c r="G12" s="106"/>
    </row>
    <row r="13" spans="1:7" x14ac:dyDescent="0.3">
      <c r="A13" s="129"/>
      <c r="B13" s="7" t="s">
        <v>20</v>
      </c>
      <c r="C13" s="38"/>
      <c r="D13" s="39">
        <v>45823</v>
      </c>
      <c r="E13" s="134"/>
      <c r="F13" s="71"/>
      <c r="G13" s="106"/>
    </row>
    <row r="14" spans="1:7" x14ac:dyDescent="0.3">
      <c r="A14" s="129"/>
      <c r="B14" s="54" t="s">
        <v>21</v>
      </c>
      <c r="C14" s="8" t="s">
        <v>93</v>
      </c>
      <c r="D14" s="8" t="s">
        <v>45</v>
      </c>
      <c r="E14" s="2" t="s">
        <v>8</v>
      </c>
      <c r="F14" s="66">
        <v>5</v>
      </c>
      <c r="G14" s="106"/>
    </row>
    <row r="15" spans="1:7" x14ac:dyDescent="0.3">
      <c r="A15" s="11"/>
      <c r="B15" s="11" t="s">
        <v>7</v>
      </c>
      <c r="C15" s="38" t="s">
        <v>92</v>
      </c>
      <c r="D15" s="38" t="s">
        <v>27</v>
      </c>
      <c r="E15" s="40" t="s">
        <v>8</v>
      </c>
      <c r="F15" s="71">
        <v>5</v>
      </c>
      <c r="G15" s="106"/>
    </row>
    <row r="16" spans="1:7" x14ac:dyDescent="0.3">
      <c r="A16" s="7"/>
      <c r="B16" s="7" t="s">
        <v>10</v>
      </c>
      <c r="C16" s="8" t="s">
        <v>28</v>
      </c>
      <c r="D16" s="8" t="s">
        <v>29</v>
      </c>
      <c r="E16" s="2" t="s">
        <v>8</v>
      </c>
      <c r="F16" s="66">
        <v>5</v>
      </c>
      <c r="G16" s="106"/>
    </row>
    <row r="17" spans="1:7" ht="16.5" customHeight="1" x14ac:dyDescent="0.3">
      <c r="A17" s="7"/>
      <c r="B17" s="7" t="s">
        <v>65</v>
      </c>
      <c r="C17" s="8" t="s">
        <v>70</v>
      </c>
      <c r="D17" s="8" t="s">
        <v>64</v>
      </c>
      <c r="E17" s="2" t="s">
        <v>8</v>
      </c>
      <c r="F17" s="66">
        <v>5</v>
      </c>
      <c r="G17" s="106"/>
    </row>
    <row r="18" spans="1:7" x14ac:dyDescent="0.3">
      <c r="A18" s="11"/>
      <c r="B18" s="7" t="s">
        <v>57</v>
      </c>
      <c r="C18" s="8" t="s">
        <v>91</v>
      </c>
      <c r="D18" s="9" t="s">
        <v>61</v>
      </c>
      <c r="E18" s="2" t="s">
        <v>8</v>
      </c>
      <c r="F18" s="66">
        <v>5</v>
      </c>
      <c r="G18" s="106"/>
    </row>
    <row r="19" spans="1:7" x14ac:dyDescent="0.3">
      <c r="A19" s="11"/>
      <c r="B19" s="11" t="s">
        <v>58</v>
      </c>
      <c r="C19" s="8" t="s">
        <v>90</v>
      </c>
      <c r="D19" s="8" t="s">
        <v>62</v>
      </c>
      <c r="E19" s="2" t="s">
        <v>8</v>
      </c>
      <c r="F19" s="66">
        <v>5</v>
      </c>
      <c r="G19" s="106"/>
    </row>
    <row r="20" spans="1:7" x14ac:dyDescent="0.3">
      <c r="A20" s="54"/>
      <c r="B20" s="77" t="s">
        <v>59</v>
      </c>
      <c r="C20" s="8" t="s">
        <v>89</v>
      </c>
      <c r="D20" s="8" t="s">
        <v>63</v>
      </c>
      <c r="E20" s="2" t="s">
        <v>8</v>
      </c>
      <c r="F20" s="66">
        <v>5</v>
      </c>
      <c r="G20" s="106"/>
    </row>
    <row r="21" spans="1:7" ht="15" thickBot="1" x14ac:dyDescent="0.35">
      <c r="A21" s="52" t="s">
        <v>5</v>
      </c>
      <c r="B21" s="52"/>
      <c r="C21" s="57"/>
      <c r="D21" s="58"/>
      <c r="E21" s="59">
        <v>1</v>
      </c>
      <c r="F21" s="72">
        <f>AVERAGE(F10:F20)</f>
        <v>5</v>
      </c>
      <c r="G21" s="70"/>
    </row>
    <row r="22" spans="1:7" ht="15" thickBot="1" x14ac:dyDescent="0.35">
      <c r="A22" s="117" t="s">
        <v>14</v>
      </c>
      <c r="B22" s="118"/>
      <c r="C22" s="118"/>
      <c r="D22" s="73"/>
      <c r="E22" s="73"/>
      <c r="F22" s="74"/>
      <c r="G22" s="5"/>
    </row>
    <row r="23" spans="1:7" x14ac:dyDescent="0.3">
      <c r="A23" s="3"/>
      <c r="B23" s="3"/>
      <c r="C23" s="3"/>
      <c r="D23" s="3"/>
      <c r="E23" s="107" t="s">
        <v>11</v>
      </c>
      <c r="F23" s="108"/>
      <c r="G23" s="109"/>
    </row>
    <row r="24" spans="1:7" x14ac:dyDescent="0.3">
      <c r="A24" s="5" t="s">
        <v>35</v>
      </c>
      <c r="B24" s="3"/>
      <c r="C24" s="3"/>
      <c r="D24" s="3"/>
      <c r="E24" s="110" t="s">
        <v>12</v>
      </c>
      <c r="F24" s="111"/>
      <c r="G24" s="112"/>
    </row>
    <row r="25" spans="1:7" ht="15" thickBot="1" x14ac:dyDescent="0.35">
      <c r="A25" s="3"/>
      <c r="B25" s="3"/>
      <c r="C25" s="3"/>
      <c r="D25" s="3"/>
      <c r="E25" s="103" t="s">
        <v>13</v>
      </c>
      <c r="F25" s="104"/>
      <c r="G25" s="105"/>
    </row>
    <row r="26" spans="1:7" x14ac:dyDescent="0.3">
      <c r="A26" s="18" t="s">
        <v>278</v>
      </c>
      <c r="E26" s="3"/>
      <c r="F26" s="3"/>
      <c r="G26" s="3"/>
    </row>
    <row r="27" spans="1:7" x14ac:dyDescent="0.3">
      <c r="A27" s="5" t="s">
        <v>279</v>
      </c>
      <c r="B27" s="3"/>
      <c r="C27" s="3"/>
      <c r="D27" s="3"/>
      <c r="E27" s="3"/>
      <c r="F27" s="3"/>
      <c r="G27" s="3"/>
    </row>
    <row r="28" spans="1:7" x14ac:dyDescent="0.3">
      <c r="A28" s="5"/>
      <c r="B28" s="3"/>
      <c r="C28" s="3"/>
      <c r="D28" s="3"/>
      <c r="E28" s="3"/>
      <c r="F28" s="3"/>
      <c r="G28" s="3"/>
    </row>
    <row r="29" spans="1:7" x14ac:dyDescent="0.3">
      <c r="A29" s="5" t="s">
        <v>37</v>
      </c>
      <c r="B29" s="4"/>
      <c r="C29" s="3"/>
      <c r="D29" s="3"/>
      <c r="E29" s="3"/>
      <c r="F29" s="3"/>
      <c r="G29" s="3"/>
    </row>
    <row r="30" spans="1:7" x14ac:dyDescent="0.3">
      <c r="A30" s="3"/>
      <c r="B30" s="3"/>
      <c r="C30" s="3"/>
      <c r="D30" s="3"/>
      <c r="E30" s="3"/>
      <c r="F30" s="3"/>
      <c r="G30" s="3"/>
    </row>
    <row r="31" spans="1:7" x14ac:dyDescent="0.3">
      <c r="A31" s="18" t="s">
        <v>77</v>
      </c>
    </row>
    <row r="32" spans="1:7" x14ac:dyDescent="0.3">
      <c r="A32" s="5" t="s">
        <v>78</v>
      </c>
    </row>
    <row r="35" spans="1:7" x14ac:dyDescent="0.3">
      <c r="A35" s="5"/>
    </row>
    <row r="37" spans="1:7" ht="104.25" customHeight="1" x14ac:dyDescent="0.3">
      <c r="A37" s="100"/>
      <c r="B37" s="100"/>
      <c r="C37" s="100"/>
      <c r="D37" s="100"/>
      <c r="E37" s="100"/>
      <c r="F37" s="100"/>
      <c r="G37" s="100"/>
    </row>
    <row r="38" spans="1:7" x14ac:dyDescent="0.3">
      <c r="A38" s="1"/>
      <c r="B38" s="1"/>
      <c r="C38" s="1"/>
      <c r="D38" s="1"/>
      <c r="E38" s="1"/>
      <c r="F38" s="1"/>
      <c r="G38" s="1"/>
    </row>
    <row r="39" spans="1:7" ht="18" customHeight="1" x14ac:dyDescent="0.3">
      <c r="A39" s="101" t="s">
        <v>0</v>
      </c>
      <c r="B39" s="101"/>
      <c r="C39" s="101"/>
      <c r="D39" s="101"/>
      <c r="E39" s="101"/>
      <c r="F39" s="101"/>
      <c r="G39" s="101"/>
    </row>
    <row r="40" spans="1:7" x14ac:dyDescent="0.3">
      <c r="A40" s="102" t="s">
        <v>42</v>
      </c>
      <c r="B40" s="102"/>
      <c r="C40" s="102"/>
      <c r="D40" s="102"/>
      <c r="E40" s="102"/>
      <c r="F40" s="102"/>
      <c r="G40" s="102"/>
    </row>
    <row r="41" spans="1:7" x14ac:dyDescent="0.3">
      <c r="A41" s="5" t="s">
        <v>18</v>
      </c>
      <c r="B41" s="102"/>
      <c r="C41" s="102"/>
      <c r="D41" s="102"/>
      <c r="E41" s="102"/>
      <c r="F41" s="102"/>
      <c r="G41" s="102"/>
    </row>
    <row r="42" spans="1:7" x14ac:dyDescent="0.3">
      <c r="A42" s="5"/>
      <c r="B42" s="5"/>
      <c r="C42" s="5"/>
      <c r="D42" s="5"/>
      <c r="E42" s="5"/>
      <c r="F42" s="5"/>
      <c r="G42" s="5"/>
    </row>
    <row r="43" spans="1:7" ht="43.5" customHeight="1" x14ac:dyDescent="0.3">
      <c r="A43" s="6" t="s">
        <v>16</v>
      </c>
      <c r="B43" s="6" t="s">
        <v>1</v>
      </c>
      <c r="C43" s="6" t="s">
        <v>2</v>
      </c>
      <c r="D43" s="6" t="s">
        <v>3</v>
      </c>
      <c r="E43" s="6" t="s">
        <v>4</v>
      </c>
      <c r="F43" s="6" t="s">
        <v>5</v>
      </c>
      <c r="G43" s="6" t="s">
        <v>6</v>
      </c>
    </row>
    <row r="44" spans="1:7" ht="16.5" customHeight="1" x14ac:dyDescent="0.3">
      <c r="A44" s="7" t="s">
        <v>23</v>
      </c>
      <c r="B44" s="7" t="s">
        <v>19</v>
      </c>
      <c r="C44" s="8" t="s">
        <v>43</v>
      </c>
      <c r="D44" s="8" t="s">
        <v>43</v>
      </c>
      <c r="E44" s="2" t="s">
        <v>8</v>
      </c>
      <c r="F44" s="10">
        <v>5</v>
      </c>
      <c r="G44" s="113" t="s">
        <v>9</v>
      </c>
    </row>
    <row r="45" spans="1:7" x14ac:dyDescent="0.3">
      <c r="A45" s="11"/>
      <c r="B45" s="11" t="s">
        <v>20</v>
      </c>
      <c r="C45" s="8" t="s">
        <v>53</v>
      </c>
      <c r="D45" s="8" t="s">
        <v>44</v>
      </c>
      <c r="E45" s="2" t="s">
        <v>8</v>
      </c>
      <c r="F45" s="10">
        <v>5</v>
      </c>
      <c r="G45" s="114"/>
    </row>
    <row r="46" spans="1:7" ht="15" thickBot="1" x14ac:dyDescent="0.35">
      <c r="A46" s="42"/>
      <c r="B46" s="42" t="s">
        <v>21</v>
      </c>
      <c r="C46" s="43" t="s">
        <v>24</v>
      </c>
      <c r="D46" s="43" t="s">
        <v>45</v>
      </c>
      <c r="E46" s="44" t="s">
        <v>8</v>
      </c>
      <c r="F46" s="45">
        <v>5</v>
      </c>
      <c r="G46" s="114"/>
    </row>
    <row r="47" spans="1:7" x14ac:dyDescent="0.3">
      <c r="A47" s="7" t="s">
        <v>30</v>
      </c>
      <c r="B47" s="7"/>
      <c r="C47" s="38"/>
      <c r="D47" s="39"/>
      <c r="E47" s="40"/>
      <c r="F47" s="41"/>
      <c r="G47" s="114"/>
    </row>
    <row r="48" spans="1:7" x14ac:dyDescent="0.3">
      <c r="A48" s="11"/>
      <c r="B48" s="11" t="s">
        <v>20</v>
      </c>
      <c r="C48" s="8" t="s">
        <v>54</v>
      </c>
      <c r="D48" s="8" t="s">
        <v>44</v>
      </c>
      <c r="E48" s="2" t="s">
        <v>8</v>
      </c>
      <c r="F48" s="10">
        <v>5</v>
      </c>
      <c r="G48" s="114"/>
    </row>
    <row r="49" spans="1:7" ht="15" thickBot="1" x14ac:dyDescent="0.35">
      <c r="A49" s="42"/>
      <c r="B49" s="42" t="s">
        <v>21</v>
      </c>
      <c r="C49" s="46" t="s">
        <v>31</v>
      </c>
      <c r="D49" s="43" t="s">
        <v>45</v>
      </c>
      <c r="E49" s="44" t="s">
        <v>8</v>
      </c>
      <c r="F49" s="45">
        <v>5</v>
      </c>
      <c r="G49" s="114"/>
    </row>
    <row r="50" spans="1:7" x14ac:dyDescent="0.3">
      <c r="A50" s="7" t="s">
        <v>17</v>
      </c>
      <c r="B50" s="7" t="s">
        <v>19</v>
      </c>
      <c r="C50" s="37" t="s">
        <v>55</v>
      </c>
      <c r="D50" s="38" t="s">
        <v>43</v>
      </c>
      <c r="E50" s="40" t="s">
        <v>8</v>
      </c>
      <c r="F50" s="41">
        <v>5</v>
      </c>
      <c r="G50" s="114"/>
    </row>
    <row r="51" spans="1:7" x14ac:dyDescent="0.3">
      <c r="A51" s="11"/>
      <c r="B51" s="11" t="s">
        <v>20</v>
      </c>
      <c r="C51" s="35" t="s">
        <v>54</v>
      </c>
      <c r="D51" s="8" t="s">
        <v>44</v>
      </c>
      <c r="E51" s="2" t="s">
        <v>8</v>
      </c>
      <c r="F51" s="10">
        <v>5</v>
      </c>
      <c r="G51" s="114"/>
    </row>
    <row r="52" spans="1:7" ht="15" thickBot="1" x14ac:dyDescent="0.35">
      <c r="A52" s="42"/>
      <c r="B52" s="42" t="s">
        <v>21</v>
      </c>
      <c r="C52" s="36" t="s">
        <v>31</v>
      </c>
      <c r="D52" s="43" t="s">
        <v>45</v>
      </c>
      <c r="E52" s="44" t="s">
        <v>8</v>
      </c>
      <c r="F52" s="45">
        <v>5</v>
      </c>
      <c r="G52" s="115"/>
    </row>
    <row r="53" spans="1:7" x14ac:dyDescent="0.3">
      <c r="A53" s="12" t="s">
        <v>5</v>
      </c>
      <c r="B53" s="12"/>
      <c r="C53" s="47"/>
      <c r="D53" s="48"/>
      <c r="E53" s="49">
        <v>1</v>
      </c>
      <c r="F53" s="50">
        <f>AVERAGE(F47:F49)</f>
        <v>5</v>
      </c>
      <c r="G53" s="17"/>
    </row>
    <row r="54" spans="1:7" ht="15" thickBot="1" x14ac:dyDescent="0.35">
      <c r="A54" s="116" t="s">
        <v>14</v>
      </c>
      <c r="B54" s="116"/>
      <c r="C54" s="116"/>
      <c r="D54" s="5"/>
      <c r="E54" s="5"/>
      <c r="F54" s="5"/>
      <c r="G54" s="5"/>
    </row>
    <row r="55" spans="1:7" x14ac:dyDescent="0.3">
      <c r="A55" s="3"/>
      <c r="B55" s="3"/>
      <c r="C55" s="3"/>
      <c r="D55" s="3"/>
      <c r="E55" s="107" t="s">
        <v>11</v>
      </c>
      <c r="F55" s="108"/>
      <c r="G55" s="109"/>
    </row>
    <row r="56" spans="1:7" x14ac:dyDescent="0.3">
      <c r="A56" s="5" t="s">
        <v>35</v>
      </c>
      <c r="B56" s="3"/>
      <c r="C56" s="3"/>
      <c r="D56" s="3"/>
      <c r="E56" s="110" t="s">
        <v>12</v>
      </c>
      <c r="F56" s="111"/>
      <c r="G56" s="112"/>
    </row>
    <row r="57" spans="1:7" ht="15" thickBot="1" x14ac:dyDescent="0.35">
      <c r="A57" s="3"/>
      <c r="B57" s="3"/>
      <c r="C57" s="3"/>
      <c r="D57" s="3"/>
      <c r="E57" s="103" t="s">
        <v>13</v>
      </c>
      <c r="F57" s="104"/>
      <c r="G57" s="105"/>
    </row>
    <row r="58" spans="1:7" x14ac:dyDescent="0.3">
      <c r="A58" s="18" t="s">
        <v>15</v>
      </c>
      <c r="E58" s="3"/>
      <c r="F58" s="3"/>
      <c r="G58" s="3"/>
    </row>
    <row r="59" spans="1:7" x14ac:dyDescent="0.3">
      <c r="A59" s="5" t="s">
        <v>36</v>
      </c>
      <c r="B59" s="3"/>
      <c r="C59" s="3"/>
      <c r="D59" s="3"/>
      <c r="E59" s="3"/>
      <c r="F59" s="3"/>
      <c r="G59" s="3"/>
    </row>
    <row r="60" spans="1:7" x14ac:dyDescent="0.3">
      <c r="A60" s="5"/>
      <c r="B60" s="3"/>
      <c r="C60" s="3"/>
      <c r="D60" s="3"/>
      <c r="E60" s="3"/>
      <c r="F60" s="3"/>
      <c r="G60" s="3"/>
    </row>
    <row r="61" spans="1:7" x14ac:dyDescent="0.3">
      <c r="A61" s="5" t="s">
        <v>37</v>
      </c>
      <c r="B61" s="4"/>
      <c r="C61" s="3"/>
      <c r="D61" s="3"/>
      <c r="E61" s="3"/>
      <c r="F61" s="3"/>
      <c r="G61" s="3"/>
    </row>
    <row r="62" spans="1:7" x14ac:dyDescent="0.3">
      <c r="A62" s="3"/>
      <c r="B62" s="3"/>
      <c r="C62" s="3"/>
      <c r="D62" s="3"/>
      <c r="E62" s="3"/>
      <c r="F62" s="3"/>
      <c r="G62" s="3"/>
    </row>
    <row r="63" spans="1:7" x14ac:dyDescent="0.3">
      <c r="A63" s="18" t="s">
        <v>38</v>
      </c>
    </row>
    <row r="64" spans="1:7" x14ac:dyDescent="0.3">
      <c r="A64" s="5" t="s">
        <v>39</v>
      </c>
    </row>
    <row r="66" spans="1:7" ht="104.25" customHeight="1" x14ac:dyDescent="0.3">
      <c r="A66" s="100"/>
      <c r="B66" s="100"/>
      <c r="C66" s="100"/>
      <c r="D66" s="100"/>
      <c r="E66" s="100"/>
      <c r="F66" s="100"/>
      <c r="G66" s="100"/>
    </row>
    <row r="67" spans="1:7" x14ac:dyDescent="0.3">
      <c r="A67" s="1"/>
      <c r="B67" s="1"/>
      <c r="C67" s="1"/>
      <c r="D67" s="1"/>
      <c r="E67" s="1"/>
      <c r="F67" s="1"/>
      <c r="G67" s="1"/>
    </row>
    <row r="68" spans="1:7" ht="18" customHeight="1" x14ac:dyDescent="0.3">
      <c r="A68" s="101" t="s">
        <v>0</v>
      </c>
      <c r="B68" s="101"/>
      <c r="C68" s="101"/>
      <c r="D68" s="101"/>
      <c r="E68" s="101"/>
      <c r="F68" s="101"/>
      <c r="G68" s="101"/>
    </row>
    <row r="69" spans="1:7" x14ac:dyDescent="0.3">
      <c r="A69" s="102" t="s">
        <v>22</v>
      </c>
      <c r="B69" s="102"/>
      <c r="C69" s="102"/>
      <c r="D69" s="102"/>
      <c r="E69" s="102"/>
      <c r="F69" s="102"/>
      <c r="G69" s="102"/>
    </row>
    <row r="70" spans="1:7" x14ac:dyDescent="0.3">
      <c r="A70" s="5" t="s">
        <v>18</v>
      </c>
      <c r="B70" s="102"/>
      <c r="C70" s="102"/>
      <c r="D70" s="102"/>
      <c r="E70" s="102"/>
      <c r="F70" s="102"/>
      <c r="G70" s="102"/>
    </row>
    <row r="71" spans="1:7" x14ac:dyDescent="0.3">
      <c r="A71" s="5"/>
      <c r="B71" s="5"/>
      <c r="C71" s="5"/>
      <c r="D71" s="5"/>
      <c r="E71" s="5"/>
      <c r="F71" s="5"/>
      <c r="G71" s="5"/>
    </row>
    <row r="72" spans="1:7" ht="43.5" customHeight="1" x14ac:dyDescent="0.3">
      <c r="A72" s="6" t="s">
        <v>16</v>
      </c>
      <c r="B72" s="6" t="s">
        <v>1</v>
      </c>
      <c r="C72" s="6" t="s">
        <v>2</v>
      </c>
      <c r="D72" s="6" t="s">
        <v>3</v>
      </c>
      <c r="E72" s="6" t="s">
        <v>4</v>
      </c>
      <c r="F72" s="6" t="s">
        <v>5</v>
      </c>
      <c r="G72" s="6" t="s">
        <v>6</v>
      </c>
    </row>
    <row r="73" spans="1:7" ht="16.5" customHeight="1" x14ac:dyDescent="0.3">
      <c r="A73" s="7" t="s">
        <v>23</v>
      </c>
      <c r="B73" s="7" t="s">
        <v>21</v>
      </c>
      <c r="C73" s="8" t="s">
        <v>24</v>
      </c>
      <c r="D73" s="9" t="s">
        <v>25</v>
      </c>
      <c r="E73" s="2" t="s">
        <v>8</v>
      </c>
      <c r="F73" s="10">
        <v>5</v>
      </c>
      <c r="G73" s="113" t="s">
        <v>9</v>
      </c>
    </row>
    <row r="74" spans="1:7" x14ac:dyDescent="0.3">
      <c r="A74" s="11"/>
      <c r="B74" s="11" t="s">
        <v>7</v>
      </c>
      <c r="C74" s="8" t="s">
        <v>26</v>
      </c>
      <c r="D74" s="8" t="s">
        <v>27</v>
      </c>
      <c r="E74" s="2" t="s">
        <v>8</v>
      </c>
      <c r="F74" s="10">
        <v>5</v>
      </c>
      <c r="G74" s="114"/>
    </row>
    <row r="75" spans="1:7" x14ac:dyDescent="0.3">
      <c r="A75" s="7"/>
      <c r="B75" s="7" t="s">
        <v>10</v>
      </c>
      <c r="C75" s="8" t="s">
        <v>28</v>
      </c>
      <c r="D75" s="8" t="s">
        <v>29</v>
      </c>
      <c r="E75" s="2" t="s">
        <v>8</v>
      </c>
      <c r="F75" s="10">
        <v>5</v>
      </c>
      <c r="G75" s="114"/>
    </row>
    <row r="76" spans="1:7" x14ac:dyDescent="0.3">
      <c r="A76" s="7" t="s">
        <v>30</v>
      </c>
      <c r="B76" s="7" t="s">
        <v>21</v>
      </c>
      <c r="C76" s="8" t="s">
        <v>31</v>
      </c>
      <c r="D76" s="9" t="s">
        <v>25</v>
      </c>
      <c r="E76" s="2" t="s">
        <v>8</v>
      </c>
      <c r="F76" s="10">
        <v>5</v>
      </c>
      <c r="G76" s="114"/>
    </row>
    <row r="77" spans="1:7" x14ac:dyDescent="0.3">
      <c r="A77" s="11"/>
      <c r="B77" s="11" t="s">
        <v>7</v>
      </c>
      <c r="C77" s="8" t="s">
        <v>32</v>
      </c>
      <c r="D77" s="8" t="s">
        <v>27</v>
      </c>
      <c r="E77" s="2" t="s">
        <v>8</v>
      </c>
      <c r="F77" s="10">
        <v>5</v>
      </c>
      <c r="G77" s="114"/>
    </row>
    <row r="78" spans="1:7" x14ac:dyDescent="0.3">
      <c r="A78" s="7"/>
      <c r="B78" s="7" t="s">
        <v>10</v>
      </c>
      <c r="C78" s="8" t="s">
        <v>33</v>
      </c>
      <c r="D78" s="8" t="s">
        <v>29</v>
      </c>
      <c r="E78" s="2" t="s">
        <v>8</v>
      </c>
      <c r="F78" s="10">
        <v>5</v>
      </c>
      <c r="G78" s="114"/>
    </row>
    <row r="79" spans="1:7" x14ac:dyDescent="0.3">
      <c r="A79" s="7" t="s">
        <v>17</v>
      </c>
      <c r="B79" s="7" t="s">
        <v>21</v>
      </c>
      <c r="C79" s="8" t="s">
        <v>31</v>
      </c>
      <c r="D79" s="9" t="s">
        <v>25</v>
      </c>
      <c r="E79" s="2" t="s">
        <v>8</v>
      </c>
      <c r="F79" s="10">
        <v>5</v>
      </c>
      <c r="G79" s="114"/>
    </row>
    <row r="80" spans="1:7" x14ac:dyDescent="0.3">
      <c r="A80" s="11"/>
      <c r="B80" s="11" t="s">
        <v>7</v>
      </c>
      <c r="C80" s="8" t="s">
        <v>32</v>
      </c>
      <c r="D80" s="8" t="s">
        <v>27</v>
      </c>
      <c r="E80" s="2" t="s">
        <v>8</v>
      </c>
      <c r="F80" s="10">
        <v>5</v>
      </c>
      <c r="G80" s="114"/>
    </row>
    <row r="81" spans="1:7" x14ac:dyDescent="0.3">
      <c r="A81" s="7"/>
      <c r="B81" s="7" t="s">
        <v>10</v>
      </c>
      <c r="C81" s="8" t="s">
        <v>34</v>
      </c>
      <c r="D81" s="8" t="s">
        <v>29</v>
      </c>
      <c r="E81" s="2" t="s">
        <v>8</v>
      </c>
      <c r="F81" s="10">
        <v>5</v>
      </c>
      <c r="G81" s="115"/>
    </row>
    <row r="82" spans="1:7" x14ac:dyDescent="0.3">
      <c r="A82" s="12" t="s">
        <v>5</v>
      </c>
      <c r="B82" s="12"/>
      <c r="C82" s="13"/>
      <c r="D82" s="14"/>
      <c r="E82" s="15">
        <v>1</v>
      </c>
      <c r="F82" s="16">
        <f>AVERAGE(F76:F78)</f>
        <v>5</v>
      </c>
      <c r="G82" s="17"/>
    </row>
    <row r="83" spans="1:7" ht="15" thickBot="1" x14ac:dyDescent="0.35">
      <c r="A83" s="116" t="s">
        <v>14</v>
      </c>
      <c r="B83" s="116"/>
      <c r="C83" s="116"/>
      <c r="D83" s="5"/>
      <c r="E83" s="5"/>
      <c r="F83" s="5"/>
      <c r="G83" s="5"/>
    </row>
    <row r="84" spans="1:7" x14ac:dyDescent="0.3">
      <c r="A84" s="3"/>
      <c r="B84" s="3"/>
      <c r="C84" s="3"/>
      <c r="D84" s="3"/>
      <c r="E84" s="107" t="s">
        <v>11</v>
      </c>
      <c r="F84" s="108"/>
      <c r="G84" s="109"/>
    </row>
    <row r="85" spans="1:7" x14ac:dyDescent="0.3">
      <c r="A85" s="5" t="s">
        <v>35</v>
      </c>
      <c r="B85" s="3"/>
      <c r="C85" s="3"/>
      <c r="D85" s="3"/>
      <c r="E85" s="110" t="s">
        <v>12</v>
      </c>
      <c r="F85" s="111"/>
      <c r="G85" s="112"/>
    </row>
    <row r="86" spans="1:7" ht="15" thickBot="1" x14ac:dyDescent="0.35">
      <c r="A86" s="3"/>
      <c r="B86" s="3"/>
      <c r="C86" s="3"/>
      <c r="D86" s="3"/>
      <c r="E86" s="103" t="s">
        <v>13</v>
      </c>
      <c r="F86" s="104"/>
      <c r="G86" s="105"/>
    </row>
    <row r="87" spans="1:7" x14ac:dyDescent="0.3">
      <c r="A87" s="18" t="s">
        <v>15</v>
      </c>
      <c r="E87" s="3"/>
      <c r="F87" s="3"/>
      <c r="G87" s="3"/>
    </row>
    <row r="88" spans="1:7" x14ac:dyDescent="0.3">
      <c r="A88" s="5" t="s">
        <v>36</v>
      </c>
      <c r="B88" s="3"/>
      <c r="C88" s="3"/>
      <c r="D88" s="3"/>
      <c r="E88" s="3"/>
      <c r="F88" s="3"/>
      <c r="G88" s="3"/>
    </row>
    <row r="89" spans="1:7" x14ac:dyDescent="0.3">
      <c r="A89" s="5"/>
      <c r="B89" s="3"/>
      <c r="C89" s="3"/>
      <c r="D89" s="3"/>
      <c r="E89" s="3"/>
      <c r="F89" s="3"/>
      <c r="G89" s="3"/>
    </row>
    <row r="90" spans="1:7" x14ac:dyDescent="0.3">
      <c r="A90" s="5" t="s">
        <v>37</v>
      </c>
      <c r="B90" s="4"/>
      <c r="C90" s="3"/>
      <c r="D90" s="3"/>
      <c r="E90" s="3"/>
      <c r="F90" s="3"/>
      <c r="G90" s="3"/>
    </row>
    <row r="91" spans="1:7" x14ac:dyDescent="0.3">
      <c r="A91" s="3"/>
      <c r="B91" s="3"/>
      <c r="C91" s="3"/>
      <c r="D91" s="3"/>
      <c r="E91" s="3"/>
      <c r="F91" s="3"/>
      <c r="G91" s="3"/>
    </row>
    <row r="92" spans="1:7" x14ac:dyDescent="0.3">
      <c r="A92" s="18" t="s">
        <v>38</v>
      </c>
    </row>
    <row r="93" spans="1:7" x14ac:dyDescent="0.3">
      <c r="A93" s="5" t="s">
        <v>39</v>
      </c>
    </row>
    <row r="96" spans="1:7" ht="104.25" customHeight="1" x14ac:dyDescent="0.3">
      <c r="A96" s="100"/>
      <c r="B96" s="100"/>
      <c r="C96" s="100"/>
      <c r="D96" s="100"/>
      <c r="E96" s="100"/>
      <c r="F96" s="100"/>
      <c r="G96" s="100"/>
    </row>
    <row r="97" spans="1:7" x14ac:dyDescent="0.3">
      <c r="A97" s="1"/>
      <c r="B97" s="1"/>
      <c r="C97" s="1"/>
      <c r="D97" s="1"/>
      <c r="E97" s="1"/>
      <c r="F97" s="1"/>
      <c r="G97" s="1"/>
    </row>
    <row r="98" spans="1:7" ht="18" customHeight="1" x14ac:dyDescent="0.3">
      <c r="A98" s="101" t="s">
        <v>0</v>
      </c>
      <c r="B98" s="101"/>
      <c r="C98" s="101"/>
      <c r="D98" s="101"/>
      <c r="E98" s="101"/>
      <c r="F98" s="101"/>
      <c r="G98" s="101"/>
    </row>
    <row r="99" spans="1:7" x14ac:dyDescent="0.3">
      <c r="A99" s="102" t="s">
        <v>56</v>
      </c>
      <c r="B99" s="102"/>
      <c r="C99" s="102"/>
      <c r="D99" s="102"/>
      <c r="E99" s="102"/>
      <c r="F99" s="102"/>
      <c r="G99" s="102"/>
    </row>
    <row r="100" spans="1:7" x14ac:dyDescent="0.3">
      <c r="A100" s="5" t="s">
        <v>18</v>
      </c>
      <c r="B100" s="102"/>
      <c r="C100" s="102"/>
      <c r="D100" s="102"/>
      <c r="E100" s="102"/>
      <c r="F100" s="102"/>
      <c r="G100" s="102"/>
    </row>
    <row r="101" spans="1:7" x14ac:dyDescent="0.3">
      <c r="A101" s="5"/>
      <c r="B101" s="5"/>
      <c r="C101" s="5"/>
      <c r="D101" s="5"/>
      <c r="E101" s="5"/>
      <c r="F101" s="5"/>
      <c r="G101" s="5"/>
    </row>
    <row r="102" spans="1:7" ht="43.5" customHeight="1" x14ac:dyDescent="0.3">
      <c r="A102" s="6" t="s">
        <v>16</v>
      </c>
      <c r="B102" s="6" t="s">
        <v>1</v>
      </c>
      <c r="C102" s="6" t="s">
        <v>2</v>
      </c>
      <c r="D102" s="6" t="s">
        <v>3</v>
      </c>
      <c r="E102" s="6" t="s">
        <v>4</v>
      </c>
      <c r="F102" s="6" t="s">
        <v>5</v>
      </c>
      <c r="G102" s="6" t="s">
        <v>6</v>
      </c>
    </row>
    <row r="103" spans="1:7" ht="16.5" customHeight="1" x14ac:dyDescent="0.3">
      <c r="A103" s="7" t="s">
        <v>23</v>
      </c>
      <c r="B103" s="7" t="s">
        <v>57</v>
      </c>
      <c r="C103" s="8"/>
      <c r="D103" s="9" t="s">
        <v>61</v>
      </c>
      <c r="E103" s="2" t="s">
        <v>8</v>
      </c>
      <c r="F103" s="10">
        <v>5</v>
      </c>
      <c r="G103" s="113" t="s">
        <v>9</v>
      </c>
    </row>
    <row r="104" spans="1:7" x14ac:dyDescent="0.3">
      <c r="A104" s="11"/>
      <c r="B104" s="11" t="s">
        <v>58</v>
      </c>
      <c r="C104" s="8"/>
      <c r="D104" s="8" t="s">
        <v>62</v>
      </c>
      <c r="E104" s="2" t="s">
        <v>8</v>
      </c>
      <c r="F104" s="10">
        <v>5</v>
      </c>
      <c r="G104" s="114"/>
    </row>
    <row r="105" spans="1:7" x14ac:dyDescent="0.3">
      <c r="A105" s="7"/>
      <c r="B105" s="7" t="s">
        <v>59</v>
      </c>
      <c r="C105" s="8"/>
      <c r="D105" s="8" t="s">
        <v>63</v>
      </c>
      <c r="E105" s="2" t="s">
        <v>8</v>
      </c>
      <c r="F105" s="10">
        <v>5</v>
      </c>
      <c r="G105" s="114"/>
    </row>
    <row r="106" spans="1:7" x14ac:dyDescent="0.3">
      <c r="A106" s="7" t="s">
        <v>60</v>
      </c>
      <c r="B106" s="7" t="s">
        <v>57</v>
      </c>
      <c r="C106" s="8"/>
      <c r="D106" s="9" t="s">
        <v>61</v>
      </c>
      <c r="E106" s="2" t="s">
        <v>8</v>
      </c>
      <c r="F106" s="10">
        <v>5</v>
      </c>
      <c r="G106" s="114"/>
    </row>
    <row r="107" spans="1:7" x14ac:dyDescent="0.3">
      <c r="A107" s="11"/>
      <c r="B107" s="11" t="s">
        <v>58</v>
      </c>
      <c r="C107" s="8"/>
      <c r="D107" s="8" t="s">
        <v>62</v>
      </c>
      <c r="E107" s="2" t="s">
        <v>8</v>
      </c>
      <c r="F107" s="10">
        <v>5</v>
      </c>
      <c r="G107" s="114"/>
    </row>
    <row r="108" spans="1:7" x14ac:dyDescent="0.3">
      <c r="A108" s="7"/>
      <c r="B108" s="7" t="s">
        <v>59</v>
      </c>
      <c r="C108" s="8"/>
      <c r="D108" s="8" t="s">
        <v>63</v>
      </c>
      <c r="E108" s="2" t="s">
        <v>8</v>
      </c>
      <c r="F108" s="10">
        <v>5</v>
      </c>
      <c r="G108" s="114"/>
    </row>
    <row r="109" spans="1:7" x14ac:dyDescent="0.3">
      <c r="A109" s="7" t="s">
        <v>30</v>
      </c>
      <c r="B109" s="7" t="s">
        <v>57</v>
      </c>
      <c r="C109" s="8"/>
      <c r="D109" s="9" t="s">
        <v>61</v>
      </c>
      <c r="E109" s="2" t="s">
        <v>8</v>
      </c>
      <c r="F109" s="10">
        <v>5</v>
      </c>
      <c r="G109" s="114"/>
    </row>
    <row r="110" spans="1:7" x14ac:dyDescent="0.3">
      <c r="A110" s="11"/>
      <c r="B110" s="11" t="s">
        <v>58</v>
      </c>
      <c r="C110" s="8"/>
      <c r="D110" s="8" t="s">
        <v>62</v>
      </c>
      <c r="E110" s="2" t="s">
        <v>8</v>
      </c>
      <c r="F110" s="10">
        <v>5</v>
      </c>
      <c r="G110" s="114"/>
    </row>
    <row r="111" spans="1:7" x14ac:dyDescent="0.3">
      <c r="A111" s="7"/>
      <c r="B111" s="7" t="s">
        <v>59</v>
      </c>
      <c r="C111" s="8"/>
      <c r="D111" s="8" t="s">
        <v>63</v>
      </c>
      <c r="E111" s="2" t="s">
        <v>8</v>
      </c>
      <c r="F111" s="10">
        <v>5</v>
      </c>
      <c r="G111" s="115"/>
    </row>
    <row r="112" spans="1:7" x14ac:dyDescent="0.3">
      <c r="A112" s="12" t="s">
        <v>5</v>
      </c>
      <c r="B112" s="12"/>
      <c r="C112" s="13"/>
      <c r="D112" s="14"/>
      <c r="E112" s="15">
        <v>1</v>
      </c>
      <c r="F112" s="16">
        <f>AVERAGE(F106:F108)</f>
        <v>5</v>
      </c>
      <c r="G112" s="17"/>
    </row>
    <row r="113" spans="1:7" ht="15" thickBot="1" x14ac:dyDescent="0.35">
      <c r="A113" s="116" t="s">
        <v>14</v>
      </c>
      <c r="B113" s="116"/>
      <c r="C113" s="116"/>
      <c r="D113" s="5"/>
      <c r="E113" s="5"/>
      <c r="F113" s="5"/>
      <c r="G113" s="5"/>
    </row>
    <row r="114" spans="1:7" x14ac:dyDescent="0.3">
      <c r="A114" s="3"/>
      <c r="B114" s="3"/>
      <c r="C114" s="3"/>
      <c r="D114" s="3"/>
      <c r="E114" s="107" t="s">
        <v>11</v>
      </c>
      <c r="F114" s="108"/>
      <c r="G114" s="109"/>
    </row>
    <row r="115" spans="1:7" x14ac:dyDescent="0.3">
      <c r="A115" s="5" t="s">
        <v>35</v>
      </c>
      <c r="B115" s="3"/>
      <c r="C115" s="3"/>
      <c r="D115" s="3"/>
      <c r="E115" s="110" t="s">
        <v>12</v>
      </c>
      <c r="F115" s="111"/>
      <c r="G115" s="112"/>
    </row>
    <row r="116" spans="1:7" ht="15" thickBot="1" x14ac:dyDescent="0.35">
      <c r="A116" s="3"/>
      <c r="B116" s="3"/>
      <c r="C116" s="3"/>
      <c r="D116" s="3"/>
      <c r="E116" s="103" t="s">
        <v>13</v>
      </c>
      <c r="F116" s="104"/>
      <c r="G116" s="105"/>
    </row>
    <row r="117" spans="1:7" x14ac:dyDescent="0.3">
      <c r="A117" s="18" t="s">
        <v>15</v>
      </c>
      <c r="E117" s="3"/>
      <c r="F117" s="3"/>
      <c r="G117" s="3"/>
    </row>
    <row r="118" spans="1:7" x14ac:dyDescent="0.3">
      <c r="A118" s="5" t="s">
        <v>36</v>
      </c>
      <c r="B118" s="3"/>
      <c r="C118" s="3"/>
      <c r="D118" s="3"/>
      <c r="E118" s="3"/>
      <c r="F118" s="3"/>
      <c r="G118" s="3"/>
    </row>
    <row r="119" spans="1:7" x14ac:dyDescent="0.3">
      <c r="A119" s="5"/>
      <c r="B119" s="3"/>
      <c r="C119" s="3"/>
      <c r="D119" s="3"/>
      <c r="E119" s="3"/>
      <c r="F119" s="3"/>
      <c r="G119" s="3"/>
    </row>
    <row r="120" spans="1:7" x14ac:dyDescent="0.3">
      <c r="A120" s="5" t="s">
        <v>37</v>
      </c>
      <c r="B120" s="4"/>
      <c r="C120" s="3"/>
      <c r="D120" s="3"/>
      <c r="E120" s="3"/>
      <c r="F120" s="3"/>
      <c r="G120" s="3"/>
    </row>
    <row r="121" spans="1:7" x14ac:dyDescent="0.3">
      <c r="A121" s="3"/>
      <c r="B121" s="3"/>
      <c r="C121" s="3"/>
      <c r="D121" s="3"/>
      <c r="E121" s="3"/>
      <c r="F121" s="3"/>
      <c r="G121" s="3"/>
    </row>
    <row r="122" spans="1:7" x14ac:dyDescent="0.3">
      <c r="A122" s="18" t="s">
        <v>38</v>
      </c>
    </row>
    <row r="123" spans="1:7" x14ac:dyDescent="0.3">
      <c r="A123" s="5" t="s">
        <v>39</v>
      </c>
    </row>
  </sheetData>
  <mergeCells count="37">
    <mergeCell ref="A9:A10"/>
    <mergeCell ref="E114:G114"/>
    <mergeCell ref="E115:G115"/>
    <mergeCell ref="E116:G116"/>
    <mergeCell ref="A96:G96"/>
    <mergeCell ref="A98:G98"/>
    <mergeCell ref="A99:G99"/>
    <mergeCell ref="B100:G100"/>
    <mergeCell ref="G103:G111"/>
    <mergeCell ref="A113:C113"/>
    <mergeCell ref="E56:G56"/>
    <mergeCell ref="A22:C22"/>
    <mergeCell ref="E84:G84"/>
    <mergeCell ref="E85:G85"/>
    <mergeCell ref="E86:G86"/>
    <mergeCell ref="A66:G66"/>
    <mergeCell ref="A68:G68"/>
    <mergeCell ref="A69:G69"/>
    <mergeCell ref="B70:G70"/>
    <mergeCell ref="G73:G81"/>
    <mergeCell ref="A83:C83"/>
    <mergeCell ref="A2:G2"/>
    <mergeCell ref="A4:G4"/>
    <mergeCell ref="A5:G5"/>
    <mergeCell ref="B6:G6"/>
    <mergeCell ref="E57:G57"/>
    <mergeCell ref="A37:G37"/>
    <mergeCell ref="A39:G39"/>
    <mergeCell ref="A40:G40"/>
    <mergeCell ref="G9:G20"/>
    <mergeCell ref="E23:G23"/>
    <mergeCell ref="E24:G24"/>
    <mergeCell ref="E25:G25"/>
    <mergeCell ref="B41:G41"/>
    <mergeCell ref="G44:G52"/>
    <mergeCell ref="A54:C54"/>
    <mergeCell ref="E55:G55"/>
  </mergeCells>
  <phoneticPr fontId="18" type="noConversion"/>
  <pageMargins left="0.7" right="0.7" top="0.75" bottom="0.75" header="0.3" footer="0.3"/>
  <pageSetup paperSize="9" scale="8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  <pageSetUpPr fitToPage="1"/>
  </sheetPr>
  <dimension ref="A1:G24"/>
  <sheetViews>
    <sheetView tabSelected="1" view="pageBreakPreview" topLeftCell="A4" zoomScale="130" zoomScaleNormal="95" zoomScaleSheetLayoutView="130" workbookViewId="0">
      <selection activeCell="A5" sqref="A5"/>
    </sheetView>
  </sheetViews>
  <sheetFormatPr defaultRowHeight="14.4" x14ac:dyDescent="0.3"/>
  <cols>
    <col min="1" max="1" width="20.5546875" customWidth="1"/>
    <col min="2" max="2" width="12.88671875" customWidth="1"/>
    <col min="3" max="3" width="18.6640625" customWidth="1"/>
    <col min="4" max="4" width="19.44140625" customWidth="1"/>
    <col min="5" max="5" width="12.6640625" customWidth="1"/>
    <col min="6" max="6" width="10.5546875" customWidth="1"/>
    <col min="7" max="7" width="14.6640625" customWidth="1"/>
  </cols>
  <sheetData>
    <row r="1" spans="1:7" ht="91.5" customHeight="1" x14ac:dyDescent="0.3">
      <c r="A1" s="100"/>
      <c r="B1" s="100"/>
      <c r="C1" s="100"/>
      <c r="D1" s="100"/>
      <c r="E1" s="100"/>
      <c r="F1" s="100"/>
      <c r="G1" s="100"/>
    </row>
    <row r="2" spans="1:7" x14ac:dyDescent="0.3">
      <c r="A2" s="1"/>
      <c r="B2" s="1"/>
      <c r="C2" s="1"/>
      <c r="D2" s="1"/>
      <c r="E2" s="1"/>
      <c r="F2" s="1"/>
      <c r="G2" s="1"/>
    </row>
    <row r="3" spans="1:7" ht="17.399999999999999" x14ac:dyDescent="0.3">
      <c r="A3" s="101" t="s">
        <v>40</v>
      </c>
      <c r="B3" s="101"/>
      <c r="C3" s="101"/>
      <c r="D3" s="101"/>
      <c r="E3" s="101"/>
      <c r="F3" s="101"/>
      <c r="G3" s="101"/>
    </row>
    <row r="4" spans="1:7" x14ac:dyDescent="0.3">
      <c r="A4" s="102" t="s">
        <v>289</v>
      </c>
      <c r="B4" s="102"/>
      <c r="C4" s="102"/>
      <c r="D4" s="102"/>
      <c r="E4" s="102"/>
      <c r="F4" s="102"/>
      <c r="G4" s="102"/>
    </row>
    <row r="5" spans="1:7" x14ac:dyDescent="0.3">
      <c r="A5" s="5" t="s">
        <v>18</v>
      </c>
      <c r="B5" s="102"/>
      <c r="C5" s="102"/>
      <c r="D5" s="102"/>
      <c r="E5" s="102"/>
      <c r="F5" s="102"/>
      <c r="G5" s="102"/>
    </row>
    <row r="6" spans="1:7" ht="15" thickBot="1" x14ac:dyDescent="0.35">
      <c r="A6" s="5"/>
      <c r="B6" s="5"/>
      <c r="C6" s="5"/>
      <c r="D6" s="5"/>
      <c r="E6" s="5"/>
      <c r="F6" s="5"/>
      <c r="G6" s="5"/>
    </row>
    <row r="7" spans="1:7" ht="15" thickBot="1" x14ac:dyDescent="0.35">
      <c r="A7" s="61" t="s">
        <v>16</v>
      </c>
      <c r="B7" s="51" t="s">
        <v>1</v>
      </c>
      <c r="C7" s="51" t="s">
        <v>2</v>
      </c>
      <c r="D7" s="51" t="s">
        <v>3</v>
      </c>
      <c r="E7" s="51" t="s">
        <v>71</v>
      </c>
      <c r="F7" s="51" t="s">
        <v>5</v>
      </c>
      <c r="G7" s="62" t="s">
        <v>6</v>
      </c>
    </row>
    <row r="8" spans="1:7" ht="28.5" customHeight="1" thickBot="1" x14ac:dyDescent="0.35">
      <c r="A8" s="78" t="str">
        <f>A17</f>
        <v>GENESIS A. TUMBAGA</v>
      </c>
      <c r="B8" s="63" t="s">
        <v>287</v>
      </c>
      <c r="C8" s="64" t="s">
        <v>288</v>
      </c>
      <c r="D8" s="64" t="s">
        <v>286</v>
      </c>
      <c r="E8" s="80">
        <v>1</v>
      </c>
      <c r="F8" s="65">
        <v>5</v>
      </c>
      <c r="G8" s="106" t="s">
        <v>94</v>
      </c>
    </row>
    <row r="9" spans="1:7" ht="28.5" customHeight="1" thickBot="1" x14ac:dyDescent="0.35">
      <c r="A9" s="137"/>
      <c r="B9" s="63" t="s">
        <v>66</v>
      </c>
      <c r="C9" s="64" t="s">
        <v>93</v>
      </c>
      <c r="D9" s="64" t="s">
        <v>25</v>
      </c>
      <c r="E9" s="80">
        <v>1</v>
      </c>
      <c r="F9" s="65">
        <v>5</v>
      </c>
      <c r="G9" s="106"/>
    </row>
    <row r="10" spans="1:7" ht="28.5" customHeight="1" thickBot="1" x14ac:dyDescent="0.35">
      <c r="A10" s="56"/>
      <c r="B10" s="79" t="s">
        <v>67</v>
      </c>
      <c r="C10" s="9" t="s">
        <v>70</v>
      </c>
      <c r="D10" s="9" t="s">
        <v>64</v>
      </c>
      <c r="E10" s="80">
        <v>1</v>
      </c>
      <c r="F10" s="10">
        <v>5</v>
      </c>
      <c r="G10" s="106"/>
    </row>
    <row r="11" spans="1:7" ht="28.5" customHeight="1" x14ac:dyDescent="0.3">
      <c r="A11" s="56"/>
      <c r="B11" s="79" t="s">
        <v>68</v>
      </c>
      <c r="C11" s="9" t="s">
        <v>89</v>
      </c>
      <c r="D11" s="9" t="s">
        <v>63</v>
      </c>
      <c r="E11" s="80">
        <v>1</v>
      </c>
      <c r="F11" s="10">
        <v>5</v>
      </c>
      <c r="G11" s="106"/>
    </row>
    <row r="12" spans="1:7" ht="15" thickBot="1" x14ac:dyDescent="0.35">
      <c r="A12" s="52" t="s">
        <v>5</v>
      </c>
      <c r="B12" s="52"/>
      <c r="C12" s="53"/>
      <c r="D12" s="67"/>
      <c r="E12" s="68">
        <v>1</v>
      </c>
      <c r="F12" s="69">
        <f>AVERAGE(F9:F11)</f>
        <v>5</v>
      </c>
      <c r="G12" s="60"/>
    </row>
    <row r="13" spans="1:7" ht="15" thickBot="1" x14ac:dyDescent="0.35">
      <c r="A13" s="119" t="s">
        <v>14</v>
      </c>
      <c r="B13" s="119"/>
      <c r="C13" s="119"/>
      <c r="D13" s="5"/>
      <c r="E13" s="5"/>
      <c r="F13" s="5"/>
      <c r="G13" s="5"/>
    </row>
    <row r="14" spans="1:7" x14ac:dyDescent="0.3">
      <c r="A14" s="3"/>
      <c r="B14" s="3"/>
      <c r="C14" s="3"/>
      <c r="D14" s="3"/>
      <c r="E14" s="107" t="s">
        <v>11</v>
      </c>
      <c r="F14" s="108"/>
      <c r="G14" s="109"/>
    </row>
    <row r="15" spans="1:7" x14ac:dyDescent="0.3">
      <c r="A15" s="5" t="s">
        <v>35</v>
      </c>
      <c r="B15" s="3"/>
      <c r="C15" s="3"/>
      <c r="D15" s="3"/>
      <c r="E15" s="110" t="s">
        <v>12</v>
      </c>
      <c r="F15" s="111"/>
      <c r="G15" s="112"/>
    </row>
    <row r="16" spans="1:7" ht="15" thickBot="1" x14ac:dyDescent="0.35">
      <c r="A16" s="3"/>
      <c r="B16" s="3"/>
      <c r="C16" s="3"/>
      <c r="D16" s="3"/>
      <c r="E16" s="103" t="s">
        <v>13</v>
      </c>
      <c r="F16" s="104"/>
      <c r="G16" s="105"/>
    </row>
    <row r="17" spans="1:7" x14ac:dyDescent="0.3">
      <c r="A17" s="18" t="s">
        <v>278</v>
      </c>
      <c r="E17" s="3"/>
      <c r="F17" s="3"/>
      <c r="G17" s="3"/>
    </row>
    <row r="18" spans="1:7" x14ac:dyDescent="0.3">
      <c r="A18" s="5" t="s">
        <v>279</v>
      </c>
      <c r="B18" s="3"/>
      <c r="C18" s="3"/>
      <c r="D18" s="3"/>
      <c r="E18" s="3"/>
      <c r="F18" s="3"/>
      <c r="G18" s="3"/>
    </row>
    <row r="19" spans="1:7" x14ac:dyDescent="0.3">
      <c r="A19" s="5"/>
      <c r="B19" s="3"/>
      <c r="C19" s="3"/>
      <c r="D19" s="3"/>
      <c r="E19" s="3"/>
      <c r="F19" s="3"/>
      <c r="G19" s="3"/>
    </row>
    <row r="20" spans="1:7" x14ac:dyDescent="0.3">
      <c r="A20" s="5" t="s">
        <v>37</v>
      </c>
      <c r="B20" s="4"/>
      <c r="C20" s="3"/>
      <c r="D20" s="3"/>
      <c r="E20" s="3"/>
      <c r="F20" s="3"/>
      <c r="G20" s="3"/>
    </row>
    <row r="21" spans="1:7" x14ac:dyDescent="0.3">
      <c r="A21" s="3"/>
      <c r="B21" s="3"/>
      <c r="C21" s="3"/>
      <c r="D21" s="3"/>
      <c r="E21" s="3"/>
      <c r="F21" s="3"/>
      <c r="G21" s="3"/>
    </row>
    <row r="22" spans="1:7" x14ac:dyDescent="0.3">
      <c r="A22" s="18" t="s">
        <v>77</v>
      </c>
    </row>
    <row r="23" spans="1:7" x14ac:dyDescent="0.3">
      <c r="A23" s="5" t="s">
        <v>78</v>
      </c>
    </row>
    <row r="24" spans="1:7" x14ac:dyDescent="0.3">
      <c r="A24" s="5"/>
    </row>
  </sheetData>
  <mergeCells count="9">
    <mergeCell ref="A1:G1"/>
    <mergeCell ref="A3:G3"/>
    <mergeCell ref="A4:G4"/>
    <mergeCell ref="E16:G16"/>
    <mergeCell ref="B5:G5"/>
    <mergeCell ref="G8:G11"/>
    <mergeCell ref="A13:C13"/>
    <mergeCell ref="E14:G14"/>
    <mergeCell ref="E15:G15"/>
  </mergeCells>
  <pageMargins left="0.7" right="0.7" top="0.75" bottom="0.75" header="0.3" footer="0.3"/>
  <pageSetup paperSize="9" scale="80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  <pageSetUpPr fitToPage="1"/>
  </sheetPr>
  <dimension ref="A1:E24"/>
  <sheetViews>
    <sheetView view="pageBreakPreview" topLeftCell="A10" zoomScale="115" zoomScaleNormal="115" zoomScaleSheetLayoutView="115" workbookViewId="0">
      <selection activeCell="A18" sqref="A18:A19"/>
    </sheetView>
  </sheetViews>
  <sheetFormatPr defaultRowHeight="14.4" x14ac:dyDescent="0.3"/>
  <cols>
    <col min="1" max="1" width="23.44140625" customWidth="1"/>
    <col min="2" max="2" width="23.109375" customWidth="1"/>
    <col min="3" max="3" width="20.5546875" customWidth="1"/>
    <col min="4" max="4" width="16.6640625" customWidth="1"/>
    <col min="5" max="5" width="11.44140625" customWidth="1"/>
  </cols>
  <sheetData>
    <row r="1" spans="1:5" ht="104.25" customHeight="1" x14ac:dyDescent="0.3">
      <c r="B1" s="121"/>
      <c r="C1" s="121"/>
      <c r="D1" s="121"/>
      <c r="E1" s="121"/>
    </row>
    <row r="2" spans="1:5" x14ac:dyDescent="0.3">
      <c r="A2" s="1"/>
      <c r="B2" s="1"/>
      <c r="C2" s="1"/>
      <c r="D2" s="1"/>
      <c r="E2" s="1"/>
    </row>
    <row r="3" spans="1:5" ht="18" customHeight="1" x14ac:dyDescent="0.3">
      <c r="A3" s="101" t="s">
        <v>46</v>
      </c>
      <c r="B3" s="101"/>
      <c r="C3" s="101"/>
      <c r="D3" s="101"/>
      <c r="E3" s="101"/>
    </row>
    <row r="4" spans="1:5" x14ac:dyDescent="0.3">
      <c r="A4" s="102" t="s">
        <v>87</v>
      </c>
      <c r="B4" s="102"/>
      <c r="C4" s="102"/>
      <c r="D4" s="102"/>
      <c r="E4" s="102"/>
    </row>
    <row r="5" spans="1:5" x14ac:dyDescent="0.3">
      <c r="A5" s="5"/>
      <c r="B5" s="102"/>
      <c r="C5" s="102"/>
      <c r="D5" s="102"/>
      <c r="E5" s="102"/>
    </row>
    <row r="6" spans="1:5" ht="15" thickBot="1" x14ac:dyDescent="0.35">
      <c r="A6" s="5"/>
      <c r="B6" s="5"/>
      <c r="C6" s="5"/>
      <c r="D6" s="5"/>
      <c r="E6" s="5"/>
    </row>
    <row r="7" spans="1:5" ht="28.2" thickBot="1" x14ac:dyDescent="0.35">
      <c r="A7" s="20" t="s">
        <v>47</v>
      </c>
      <c r="B7" s="20" t="s">
        <v>48</v>
      </c>
      <c r="C7" s="20" t="s">
        <v>80</v>
      </c>
      <c r="D7" s="21" t="s">
        <v>49</v>
      </c>
      <c r="E7" s="22" t="s">
        <v>5</v>
      </c>
    </row>
    <row r="8" spans="1:5" ht="26.4" x14ac:dyDescent="0.3">
      <c r="A8" s="24" t="s">
        <v>72</v>
      </c>
      <c r="B8" s="25" t="s">
        <v>50</v>
      </c>
      <c r="C8" s="75" t="s">
        <v>81</v>
      </c>
      <c r="D8" s="23">
        <v>1</v>
      </c>
      <c r="E8" s="26">
        <v>5</v>
      </c>
    </row>
    <row r="9" spans="1:5" ht="27.6" x14ac:dyDescent="0.3">
      <c r="A9" s="24" t="s">
        <v>73</v>
      </c>
      <c r="B9" s="34" t="s">
        <v>52</v>
      </c>
      <c r="C9" s="75" t="s">
        <v>82</v>
      </c>
      <c r="D9" s="23">
        <v>1</v>
      </c>
      <c r="E9" s="26">
        <v>5</v>
      </c>
    </row>
    <row r="10" spans="1:5" ht="27.6" x14ac:dyDescent="0.3">
      <c r="A10" s="24" t="s">
        <v>74</v>
      </c>
      <c r="B10" s="55" t="s">
        <v>85</v>
      </c>
      <c r="C10" s="75" t="s">
        <v>82</v>
      </c>
      <c r="D10" s="23">
        <v>1</v>
      </c>
      <c r="E10" s="26">
        <v>5</v>
      </c>
    </row>
    <row r="11" spans="1:5" ht="27.6" x14ac:dyDescent="0.3">
      <c r="A11" s="24" t="s">
        <v>79</v>
      </c>
      <c r="B11" s="55" t="s">
        <v>86</v>
      </c>
      <c r="C11" s="75" t="s">
        <v>82</v>
      </c>
      <c r="D11" s="23">
        <v>1</v>
      </c>
      <c r="E11" s="26">
        <v>5</v>
      </c>
    </row>
    <row r="12" spans="1:5" ht="26.4" x14ac:dyDescent="0.3">
      <c r="A12" s="76" t="s">
        <v>83</v>
      </c>
      <c r="B12" s="34" t="s">
        <v>69</v>
      </c>
      <c r="C12" s="75" t="s">
        <v>82</v>
      </c>
      <c r="D12" s="23">
        <v>1</v>
      </c>
      <c r="E12" s="26">
        <v>5</v>
      </c>
    </row>
    <row r="13" spans="1:5" ht="26.4" x14ac:dyDescent="0.3">
      <c r="A13" s="24" t="s">
        <v>84</v>
      </c>
      <c r="B13" s="34" t="s">
        <v>69</v>
      </c>
      <c r="C13" s="75" t="s">
        <v>81</v>
      </c>
      <c r="D13" s="23">
        <v>1</v>
      </c>
      <c r="E13" s="26">
        <v>5</v>
      </c>
    </row>
    <row r="14" spans="1:5" ht="15" thickBot="1" x14ac:dyDescent="0.35">
      <c r="A14" s="27" t="s">
        <v>41</v>
      </c>
      <c r="B14" s="28"/>
      <c r="C14" s="28"/>
      <c r="D14" s="29">
        <v>1</v>
      </c>
      <c r="E14" s="33">
        <v>5</v>
      </c>
    </row>
    <row r="15" spans="1:5" x14ac:dyDescent="0.3">
      <c r="A15" s="3"/>
      <c r="B15" s="3"/>
      <c r="C15" s="3"/>
      <c r="D15" s="3"/>
      <c r="E15" s="3"/>
    </row>
    <row r="16" spans="1:5" x14ac:dyDescent="0.3">
      <c r="A16" s="19" t="s">
        <v>14</v>
      </c>
      <c r="B16" s="3"/>
      <c r="C16" s="3"/>
      <c r="D16" s="122"/>
      <c r="E16" s="122"/>
    </row>
    <row r="17" spans="1:5" x14ac:dyDescent="0.3">
      <c r="A17" s="3"/>
      <c r="B17" s="3"/>
      <c r="C17" s="3"/>
      <c r="D17" s="30"/>
      <c r="E17" s="30"/>
    </row>
    <row r="18" spans="1:5" x14ac:dyDescent="0.3">
      <c r="A18" s="18" t="s">
        <v>278</v>
      </c>
      <c r="B18" s="18"/>
      <c r="C18" s="3"/>
      <c r="D18" s="3"/>
      <c r="E18" s="30"/>
    </row>
    <row r="19" spans="1:5" x14ac:dyDescent="0.3">
      <c r="A19" s="5" t="s">
        <v>279</v>
      </c>
      <c r="B19" s="5"/>
      <c r="C19" s="3"/>
      <c r="D19" s="3"/>
      <c r="E19" s="31"/>
    </row>
    <row r="20" spans="1:5" x14ac:dyDescent="0.3">
      <c r="A20" s="3"/>
      <c r="B20" s="3"/>
      <c r="C20" s="3"/>
      <c r="D20" s="120"/>
      <c r="E20" s="120"/>
    </row>
    <row r="21" spans="1:5" x14ac:dyDescent="0.3">
      <c r="A21" s="18" t="s">
        <v>51</v>
      </c>
      <c r="C21" s="32"/>
      <c r="D21" s="3"/>
      <c r="E21" s="3"/>
    </row>
    <row r="22" spans="1:5" x14ac:dyDescent="0.3">
      <c r="A22" s="5"/>
    </row>
    <row r="23" spans="1:5" ht="18" customHeight="1" x14ac:dyDescent="0.3">
      <c r="A23" s="18" t="s">
        <v>77</v>
      </c>
    </row>
    <row r="24" spans="1:5" x14ac:dyDescent="0.3">
      <c r="A24" s="5" t="s">
        <v>78</v>
      </c>
    </row>
  </sheetData>
  <mergeCells count="6">
    <mergeCell ref="D20:E20"/>
    <mergeCell ref="B1:E1"/>
    <mergeCell ref="A3:E3"/>
    <mergeCell ref="A4:E4"/>
    <mergeCell ref="B5:E5"/>
    <mergeCell ref="D16:E16"/>
  </mergeCells>
  <pageMargins left="0.35433070866141736" right="0.27559055118110237" top="0.6" bottom="0.74803149606299213" header="0.31496062992125984" footer="0.31496062992125984"/>
  <pageSetup paperSize="9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0637-A840-4152-9FAC-DC06B5FB6E5D}">
  <dimension ref="A1:F28"/>
  <sheetViews>
    <sheetView zoomScale="85" zoomScaleNormal="85" workbookViewId="0">
      <selection activeCell="C26" sqref="C26"/>
    </sheetView>
  </sheetViews>
  <sheetFormatPr defaultRowHeight="14.4" x14ac:dyDescent="0.3"/>
  <cols>
    <col min="1" max="1" width="23.44140625" customWidth="1"/>
    <col min="2" max="3" width="23.109375" customWidth="1"/>
    <col min="4" max="4" width="20.5546875" customWidth="1"/>
    <col min="5" max="5" width="16.6640625" customWidth="1"/>
    <col min="6" max="6" width="11.44140625" customWidth="1"/>
  </cols>
  <sheetData>
    <row r="1" spans="1:6" ht="104.25" customHeight="1" x14ac:dyDescent="0.3">
      <c r="B1" s="121"/>
      <c r="C1" s="121"/>
      <c r="D1" s="121"/>
      <c r="E1" s="121"/>
      <c r="F1" s="121"/>
    </row>
    <row r="2" spans="1:6" x14ac:dyDescent="0.3">
      <c r="A2" s="1"/>
      <c r="B2" s="1"/>
      <c r="C2" s="1"/>
      <c r="D2" s="1"/>
      <c r="E2" s="1"/>
      <c r="F2" s="1"/>
    </row>
    <row r="3" spans="1:6" ht="18" customHeight="1" x14ac:dyDescent="0.3">
      <c r="A3" s="101" t="s">
        <v>46</v>
      </c>
      <c r="B3" s="101"/>
      <c r="C3" s="101"/>
      <c r="D3" s="101"/>
      <c r="E3" s="101"/>
      <c r="F3" s="101"/>
    </row>
    <row r="4" spans="1:6" x14ac:dyDescent="0.3">
      <c r="A4" s="102" t="s">
        <v>87</v>
      </c>
      <c r="B4" s="102"/>
      <c r="C4" s="102"/>
      <c r="D4" s="102"/>
      <c r="E4" s="102"/>
      <c r="F4" s="102"/>
    </row>
    <row r="5" spans="1:6" x14ac:dyDescent="0.3">
      <c r="A5" s="5"/>
      <c r="B5" s="102"/>
      <c r="C5" s="102"/>
      <c r="D5" s="102"/>
      <c r="E5" s="102"/>
      <c r="F5" s="102"/>
    </row>
    <row r="6" spans="1:6" ht="15" thickBot="1" x14ac:dyDescent="0.35">
      <c r="A6" s="5"/>
      <c r="B6" s="5"/>
      <c r="C6" s="5"/>
      <c r="D6" s="5"/>
      <c r="E6" s="5"/>
      <c r="F6" s="5"/>
    </row>
    <row r="7" spans="1:6" ht="28.2" thickBot="1" x14ac:dyDescent="0.35">
      <c r="A7" s="20" t="s">
        <v>47</v>
      </c>
      <c r="B7" s="20" t="s">
        <v>48</v>
      </c>
      <c r="C7" s="20"/>
      <c r="D7" s="20" t="s">
        <v>80</v>
      </c>
      <c r="E7" s="21" t="s">
        <v>49</v>
      </c>
      <c r="F7" s="22" t="s">
        <v>5</v>
      </c>
    </row>
    <row r="8" spans="1:6" x14ac:dyDescent="0.3">
      <c r="A8" s="24"/>
      <c r="B8" s="25"/>
      <c r="C8" s="81"/>
      <c r="D8" s="75"/>
      <c r="E8" s="23"/>
      <c r="F8" s="26"/>
    </row>
    <row r="9" spans="1:6" x14ac:dyDescent="0.3">
      <c r="A9" s="24"/>
      <c r="B9" s="25"/>
      <c r="C9" s="81"/>
      <c r="D9" s="75"/>
      <c r="E9" s="23"/>
      <c r="F9" s="26"/>
    </row>
    <row r="10" spans="1:6" x14ac:dyDescent="0.3">
      <c r="A10" s="24"/>
      <c r="B10" s="25"/>
      <c r="C10" s="81"/>
      <c r="D10" s="75"/>
      <c r="E10" s="23"/>
      <c r="F10" s="26"/>
    </row>
    <row r="11" spans="1:6" x14ac:dyDescent="0.3">
      <c r="A11" s="24"/>
      <c r="B11" s="25"/>
      <c r="C11" s="81"/>
      <c r="D11" s="75"/>
      <c r="E11" s="23"/>
      <c r="F11" s="26"/>
    </row>
    <row r="12" spans="1:6" x14ac:dyDescent="0.3">
      <c r="A12" s="24"/>
      <c r="B12" s="25"/>
      <c r="C12" s="81"/>
      <c r="D12" s="75"/>
      <c r="E12" s="23"/>
      <c r="F12" s="26"/>
    </row>
    <row r="13" spans="1:6" x14ac:dyDescent="0.3">
      <c r="A13" s="24"/>
      <c r="B13" s="34"/>
      <c r="C13" s="82"/>
      <c r="D13" s="75"/>
      <c r="E13" s="23"/>
      <c r="F13" s="26"/>
    </row>
    <row r="14" spans="1:6" x14ac:dyDescent="0.3">
      <c r="A14" s="24"/>
      <c r="B14" s="55"/>
      <c r="C14" s="83"/>
      <c r="D14" s="75"/>
      <c r="E14" s="23"/>
      <c r="F14" s="26"/>
    </row>
    <row r="15" spans="1:6" x14ac:dyDescent="0.3">
      <c r="A15" s="24"/>
      <c r="B15" s="55"/>
      <c r="C15" s="83"/>
      <c r="D15" s="75"/>
      <c r="E15" s="23"/>
      <c r="F15" s="26"/>
    </row>
    <row r="16" spans="1:6" x14ac:dyDescent="0.3">
      <c r="A16" s="76"/>
      <c r="B16" s="34"/>
      <c r="C16" s="82"/>
      <c r="D16" s="75"/>
      <c r="E16" s="23"/>
      <c r="F16" s="26"/>
    </row>
    <row r="17" spans="1:6" x14ac:dyDescent="0.3">
      <c r="A17" s="24"/>
      <c r="B17" s="34"/>
      <c r="C17" s="82"/>
      <c r="D17" s="75"/>
      <c r="E17" s="23"/>
      <c r="F17" s="26"/>
    </row>
    <row r="18" spans="1:6" ht="15" thickBot="1" x14ac:dyDescent="0.35">
      <c r="A18" s="27" t="s">
        <v>41</v>
      </c>
      <c r="B18" s="28"/>
      <c r="C18" s="28"/>
      <c r="D18" s="28"/>
      <c r="E18" s="29">
        <v>1</v>
      </c>
      <c r="F18" s="33">
        <v>5</v>
      </c>
    </row>
    <row r="19" spans="1:6" x14ac:dyDescent="0.3">
      <c r="A19" s="3"/>
      <c r="B19" s="3"/>
      <c r="C19" s="3"/>
      <c r="D19" s="3"/>
      <c r="E19" s="3"/>
      <c r="F19" s="3"/>
    </row>
    <row r="20" spans="1:6" x14ac:dyDescent="0.3">
      <c r="A20" s="19" t="s">
        <v>14</v>
      </c>
      <c r="B20" s="3"/>
      <c r="C20" s="3"/>
      <c r="D20" s="3"/>
      <c r="E20" s="122"/>
      <c r="F20" s="122"/>
    </row>
    <row r="21" spans="1:6" x14ac:dyDescent="0.3">
      <c r="A21" s="3"/>
      <c r="B21" s="3"/>
      <c r="C21" s="3"/>
      <c r="D21" s="3"/>
      <c r="E21" s="30"/>
      <c r="F21" s="30"/>
    </row>
    <row r="22" spans="1:6" x14ac:dyDescent="0.3">
      <c r="A22" s="18" t="s">
        <v>75</v>
      </c>
      <c r="B22" s="18"/>
      <c r="C22" s="18"/>
      <c r="D22" s="3"/>
      <c r="E22" s="3"/>
      <c r="F22" s="30"/>
    </row>
    <row r="23" spans="1:6" x14ac:dyDescent="0.3">
      <c r="A23" s="5" t="s">
        <v>76</v>
      </c>
      <c r="B23" s="5"/>
      <c r="C23" s="5"/>
      <c r="D23" s="3"/>
      <c r="E23" s="3"/>
      <c r="F23" s="31"/>
    </row>
    <row r="24" spans="1:6" x14ac:dyDescent="0.3">
      <c r="A24" s="3"/>
      <c r="B24" s="3"/>
      <c r="C24" s="3"/>
      <c r="D24" s="3"/>
      <c r="E24" s="120"/>
      <c r="F24" s="120"/>
    </row>
    <row r="25" spans="1:6" x14ac:dyDescent="0.3">
      <c r="A25" s="18" t="s">
        <v>51</v>
      </c>
      <c r="D25" s="32"/>
      <c r="E25" s="3"/>
      <c r="F25" s="3"/>
    </row>
    <row r="26" spans="1:6" x14ac:dyDescent="0.3">
      <c r="A26" s="5"/>
    </row>
    <row r="27" spans="1:6" ht="18" customHeight="1" x14ac:dyDescent="0.3">
      <c r="A27" s="18" t="s">
        <v>77</v>
      </c>
    </row>
    <row r="28" spans="1:6" x14ac:dyDescent="0.3">
      <c r="A28" s="5" t="s">
        <v>78</v>
      </c>
    </row>
  </sheetData>
  <mergeCells count="6">
    <mergeCell ref="E24:F24"/>
    <mergeCell ref="B1:F1"/>
    <mergeCell ref="A3:F3"/>
    <mergeCell ref="A4:F4"/>
    <mergeCell ref="B5:F5"/>
    <mergeCell ref="E20:F2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C044E-5BB6-4223-8A1E-898E9B2BBA89}">
  <dimension ref="A8:F68"/>
  <sheetViews>
    <sheetView view="pageBreakPreview" zoomScale="70" zoomScaleNormal="70" zoomScaleSheetLayoutView="70" workbookViewId="0">
      <selection activeCell="G4" sqref="G4"/>
    </sheetView>
  </sheetViews>
  <sheetFormatPr defaultRowHeight="14.4" x14ac:dyDescent="0.3"/>
  <cols>
    <col min="1" max="1" width="16.6640625" customWidth="1"/>
    <col min="2" max="2" width="10.109375" customWidth="1"/>
    <col min="3" max="3" width="18.33203125" customWidth="1"/>
    <col min="4" max="4" width="47.88671875" style="86" customWidth="1"/>
    <col min="5" max="5" width="19.109375" customWidth="1"/>
    <col min="6" max="6" width="19.88671875" customWidth="1"/>
    <col min="7" max="7" width="10.109375" customWidth="1"/>
  </cols>
  <sheetData>
    <row r="8" spans="1:6" ht="18" customHeight="1" x14ac:dyDescent="0.3">
      <c r="A8" s="101" t="s">
        <v>173</v>
      </c>
      <c r="B8" s="101"/>
      <c r="C8" s="101"/>
      <c r="D8" s="101"/>
      <c r="E8" s="101"/>
      <c r="F8" s="101"/>
    </row>
    <row r="9" spans="1:6" ht="17.399999999999999" x14ac:dyDescent="0.3">
      <c r="A9" s="123" t="s">
        <v>174</v>
      </c>
      <c r="B9" s="124"/>
      <c r="C9" s="124"/>
      <c r="D9" s="124"/>
      <c r="E9" s="124"/>
      <c r="F9" s="124"/>
    </row>
    <row r="10" spans="1:6" ht="15" thickBot="1" x14ac:dyDescent="0.35"/>
    <row r="11" spans="1:6" ht="35.4" thickBot="1" x14ac:dyDescent="0.35">
      <c r="A11" s="90" t="s">
        <v>95</v>
      </c>
      <c r="B11" s="90" t="s">
        <v>96</v>
      </c>
      <c r="C11" s="90" t="s">
        <v>97</v>
      </c>
      <c r="D11" s="90" t="s">
        <v>98</v>
      </c>
      <c r="E11" s="91" t="s">
        <v>99</v>
      </c>
      <c r="F11" s="91" t="s">
        <v>100</v>
      </c>
    </row>
    <row r="12" spans="1:6" ht="45" customHeight="1" thickBot="1" x14ac:dyDescent="0.35">
      <c r="A12" s="87" t="s">
        <v>101</v>
      </c>
      <c r="B12" s="87">
        <v>1</v>
      </c>
      <c r="C12" s="87" t="s">
        <v>102</v>
      </c>
      <c r="D12" s="88" t="s">
        <v>103</v>
      </c>
      <c r="E12" s="89">
        <v>5900</v>
      </c>
      <c r="F12" s="87" t="s">
        <v>104</v>
      </c>
    </row>
    <row r="13" spans="1:6" ht="15" thickBot="1" x14ac:dyDescent="0.35">
      <c r="A13" s="87" t="s">
        <v>101</v>
      </c>
      <c r="B13" s="87">
        <v>2</v>
      </c>
      <c r="C13" s="87" t="s">
        <v>102</v>
      </c>
      <c r="D13" s="88" t="s">
        <v>105</v>
      </c>
      <c r="E13" s="89">
        <v>12950</v>
      </c>
      <c r="F13" s="87" t="s">
        <v>104</v>
      </c>
    </row>
    <row r="14" spans="1:6" ht="15" thickBot="1" x14ac:dyDescent="0.35">
      <c r="A14" s="87" t="s">
        <v>106</v>
      </c>
      <c r="B14" s="87">
        <v>3</v>
      </c>
      <c r="C14" s="87" t="s">
        <v>107</v>
      </c>
      <c r="D14" s="88" t="s">
        <v>108</v>
      </c>
      <c r="E14" s="89">
        <v>28650</v>
      </c>
      <c r="F14" s="87" t="s">
        <v>104</v>
      </c>
    </row>
    <row r="15" spans="1:6" ht="15" thickBot="1" x14ac:dyDescent="0.35">
      <c r="A15" s="87" t="s">
        <v>106</v>
      </c>
      <c r="B15" s="87">
        <v>4</v>
      </c>
      <c r="C15" s="87" t="s">
        <v>107</v>
      </c>
      <c r="D15" s="88" t="s">
        <v>109</v>
      </c>
      <c r="E15" s="89">
        <v>110000</v>
      </c>
      <c r="F15" s="87" t="s">
        <v>104</v>
      </c>
    </row>
    <row r="16" spans="1:6" ht="15" thickBot="1" x14ac:dyDescent="0.35">
      <c r="A16" s="87" t="s">
        <v>106</v>
      </c>
      <c r="B16" s="87">
        <v>5</v>
      </c>
      <c r="C16" s="87" t="s">
        <v>107</v>
      </c>
      <c r="D16" s="88" t="s">
        <v>110</v>
      </c>
      <c r="E16" s="89">
        <v>32000</v>
      </c>
      <c r="F16" s="87" t="s">
        <v>104</v>
      </c>
    </row>
    <row r="17" spans="1:6" ht="15" thickBot="1" x14ac:dyDescent="0.35">
      <c r="A17" s="87" t="s">
        <v>106</v>
      </c>
      <c r="B17" s="87">
        <v>6</v>
      </c>
      <c r="C17" s="87" t="s">
        <v>107</v>
      </c>
      <c r="D17" s="88" t="s">
        <v>111</v>
      </c>
      <c r="E17" s="89">
        <v>5100</v>
      </c>
      <c r="F17" s="87" t="s">
        <v>104</v>
      </c>
    </row>
    <row r="18" spans="1:6" ht="15" thickBot="1" x14ac:dyDescent="0.35">
      <c r="A18" s="87" t="s">
        <v>106</v>
      </c>
      <c r="B18" s="87">
        <v>7</v>
      </c>
      <c r="C18" s="87" t="s">
        <v>107</v>
      </c>
      <c r="D18" s="88" t="s">
        <v>112</v>
      </c>
      <c r="E18" s="89">
        <v>5500</v>
      </c>
      <c r="F18" s="87" t="s">
        <v>104</v>
      </c>
    </row>
    <row r="19" spans="1:6" ht="15" thickBot="1" x14ac:dyDescent="0.35">
      <c r="A19" s="87" t="s">
        <v>106</v>
      </c>
      <c r="B19" s="87">
        <v>8</v>
      </c>
      <c r="C19" s="87" t="s">
        <v>107</v>
      </c>
      <c r="D19" s="88" t="s">
        <v>113</v>
      </c>
      <c r="E19" s="89">
        <v>11200</v>
      </c>
      <c r="F19" s="87" t="s">
        <v>104</v>
      </c>
    </row>
    <row r="20" spans="1:6" ht="15" thickBot="1" x14ac:dyDescent="0.35">
      <c r="A20" s="87" t="s">
        <v>106</v>
      </c>
      <c r="B20" s="87">
        <v>9</v>
      </c>
      <c r="C20" s="87" t="s">
        <v>107</v>
      </c>
      <c r="D20" s="88" t="s">
        <v>114</v>
      </c>
      <c r="E20" s="89">
        <v>5700</v>
      </c>
      <c r="F20" s="87" t="s">
        <v>104</v>
      </c>
    </row>
    <row r="21" spans="1:6" ht="15" thickBot="1" x14ac:dyDescent="0.35">
      <c r="A21" s="87" t="s">
        <v>106</v>
      </c>
      <c r="B21" s="87">
        <v>10</v>
      </c>
      <c r="C21" s="87" t="s">
        <v>107</v>
      </c>
      <c r="D21" s="88" t="s">
        <v>115</v>
      </c>
      <c r="E21" s="89">
        <v>3300</v>
      </c>
      <c r="F21" s="87" t="s">
        <v>104</v>
      </c>
    </row>
    <row r="22" spans="1:6" ht="15" thickBot="1" x14ac:dyDescent="0.35">
      <c r="A22" s="87" t="s">
        <v>106</v>
      </c>
      <c r="B22" s="87">
        <v>11</v>
      </c>
      <c r="C22" s="87" t="s">
        <v>107</v>
      </c>
      <c r="D22" s="88" t="s">
        <v>116</v>
      </c>
      <c r="E22" s="89">
        <v>9000</v>
      </c>
      <c r="F22" s="87" t="s">
        <v>104</v>
      </c>
    </row>
    <row r="23" spans="1:6" ht="15" thickBot="1" x14ac:dyDescent="0.35">
      <c r="A23" s="87" t="s">
        <v>106</v>
      </c>
      <c r="B23" s="87">
        <v>12</v>
      </c>
      <c r="C23" s="87" t="s">
        <v>107</v>
      </c>
      <c r="D23" s="88" t="s">
        <v>117</v>
      </c>
      <c r="E23" s="89">
        <v>11200</v>
      </c>
      <c r="F23" s="87" t="s">
        <v>104</v>
      </c>
    </row>
    <row r="24" spans="1:6" ht="15" thickBot="1" x14ac:dyDescent="0.35">
      <c r="A24" s="87" t="s">
        <v>106</v>
      </c>
      <c r="B24" s="87">
        <v>13</v>
      </c>
      <c r="C24" s="87" t="s">
        <v>107</v>
      </c>
      <c r="D24" s="88" t="s">
        <v>118</v>
      </c>
      <c r="E24" s="89">
        <v>10200</v>
      </c>
      <c r="F24" s="87" t="s">
        <v>104</v>
      </c>
    </row>
    <row r="25" spans="1:6" ht="15" thickBot="1" x14ac:dyDescent="0.35">
      <c r="A25" s="87" t="s">
        <v>119</v>
      </c>
      <c r="B25" s="87">
        <v>14</v>
      </c>
      <c r="C25" s="87" t="s">
        <v>120</v>
      </c>
      <c r="D25" s="88" t="s">
        <v>121</v>
      </c>
      <c r="E25" s="89">
        <v>1040</v>
      </c>
      <c r="F25" s="87" t="s">
        <v>104</v>
      </c>
    </row>
    <row r="26" spans="1:6" ht="15" thickBot="1" x14ac:dyDescent="0.35">
      <c r="A26" s="87" t="s">
        <v>119</v>
      </c>
      <c r="B26" s="87">
        <v>15</v>
      </c>
      <c r="C26" s="87" t="s">
        <v>120</v>
      </c>
      <c r="D26" s="88" t="s">
        <v>122</v>
      </c>
      <c r="E26" s="89">
        <v>2325</v>
      </c>
      <c r="F26" s="87" t="s">
        <v>104</v>
      </c>
    </row>
    <row r="27" spans="1:6" ht="15" thickBot="1" x14ac:dyDescent="0.35">
      <c r="A27" s="87" t="s">
        <v>123</v>
      </c>
      <c r="B27" s="87">
        <v>16</v>
      </c>
      <c r="C27" s="87" t="s">
        <v>124</v>
      </c>
      <c r="D27" s="88" t="s">
        <v>125</v>
      </c>
      <c r="E27" s="89">
        <v>8400</v>
      </c>
      <c r="F27" s="87" t="s">
        <v>104</v>
      </c>
    </row>
    <row r="28" spans="1:6" ht="15" thickBot="1" x14ac:dyDescent="0.35">
      <c r="A28" s="87" t="s">
        <v>126</v>
      </c>
      <c r="B28" s="87">
        <v>17</v>
      </c>
      <c r="C28" s="87" t="s">
        <v>127</v>
      </c>
      <c r="D28" s="88" t="s">
        <v>128</v>
      </c>
      <c r="E28" s="89">
        <v>19000</v>
      </c>
      <c r="F28" s="87" t="s">
        <v>104</v>
      </c>
    </row>
    <row r="29" spans="1:6" ht="15" thickBot="1" x14ac:dyDescent="0.35">
      <c r="A29" s="87" t="s">
        <v>126</v>
      </c>
      <c r="B29" s="87">
        <v>18</v>
      </c>
      <c r="C29" s="87" t="s">
        <v>127</v>
      </c>
      <c r="D29" s="88" t="s">
        <v>129</v>
      </c>
      <c r="E29" s="89">
        <v>46000</v>
      </c>
      <c r="F29" s="87" t="s">
        <v>104</v>
      </c>
    </row>
    <row r="30" spans="1:6" ht="15" thickBot="1" x14ac:dyDescent="0.35">
      <c r="A30" s="87" t="s">
        <v>130</v>
      </c>
      <c r="B30" s="87">
        <v>19</v>
      </c>
      <c r="C30" s="87" t="s">
        <v>131</v>
      </c>
      <c r="D30" s="88" t="s">
        <v>132</v>
      </c>
      <c r="E30" s="89">
        <v>5500</v>
      </c>
      <c r="F30" s="87" t="s">
        <v>104</v>
      </c>
    </row>
    <row r="31" spans="1:6" ht="15" thickBot="1" x14ac:dyDescent="0.35">
      <c r="A31" s="87" t="s">
        <v>133</v>
      </c>
      <c r="B31" s="87">
        <v>20</v>
      </c>
      <c r="C31" s="87" t="s">
        <v>134</v>
      </c>
      <c r="D31" s="88" t="s">
        <v>135</v>
      </c>
      <c r="E31" s="89">
        <v>12800</v>
      </c>
      <c r="F31" s="87" t="s">
        <v>104</v>
      </c>
    </row>
    <row r="32" spans="1:6" ht="15" thickBot="1" x14ac:dyDescent="0.35">
      <c r="A32" s="87" t="s">
        <v>133</v>
      </c>
      <c r="B32" s="87">
        <v>21</v>
      </c>
      <c r="C32" s="87" t="s">
        <v>134</v>
      </c>
      <c r="D32" s="88" t="s">
        <v>136</v>
      </c>
      <c r="E32" s="89">
        <v>4550</v>
      </c>
      <c r="F32" s="87" t="s">
        <v>104</v>
      </c>
    </row>
    <row r="33" spans="1:6" ht="15" thickBot="1" x14ac:dyDescent="0.35">
      <c r="A33" s="87" t="s">
        <v>133</v>
      </c>
      <c r="B33" s="87">
        <v>22</v>
      </c>
      <c r="C33" s="87" t="s">
        <v>134</v>
      </c>
      <c r="D33" s="88" t="s">
        <v>137</v>
      </c>
      <c r="E33" s="89">
        <v>3980</v>
      </c>
      <c r="F33" s="87" t="s">
        <v>104</v>
      </c>
    </row>
    <row r="34" spans="1:6" ht="15" thickBot="1" x14ac:dyDescent="0.35">
      <c r="A34" s="87" t="s">
        <v>133</v>
      </c>
      <c r="B34" s="87">
        <v>23</v>
      </c>
      <c r="C34" s="87" t="s">
        <v>134</v>
      </c>
      <c r="D34" s="88" t="s">
        <v>138</v>
      </c>
      <c r="E34" s="89">
        <v>28500</v>
      </c>
      <c r="F34" s="87" t="s">
        <v>104</v>
      </c>
    </row>
    <row r="35" spans="1:6" ht="15" thickBot="1" x14ac:dyDescent="0.35">
      <c r="A35" s="87" t="s">
        <v>133</v>
      </c>
      <c r="B35" s="87">
        <v>24</v>
      </c>
      <c r="C35" s="87" t="s">
        <v>134</v>
      </c>
      <c r="D35" s="88" t="s">
        <v>139</v>
      </c>
      <c r="E35" s="89">
        <v>38000</v>
      </c>
      <c r="F35" s="87" t="s">
        <v>104</v>
      </c>
    </row>
    <row r="36" spans="1:6" ht="15" thickBot="1" x14ac:dyDescent="0.35">
      <c r="A36" s="87" t="s">
        <v>133</v>
      </c>
      <c r="B36" s="87">
        <v>25</v>
      </c>
      <c r="C36" s="87" t="s">
        <v>134</v>
      </c>
      <c r="D36" s="88" t="s">
        <v>140</v>
      </c>
      <c r="E36" s="89">
        <v>25400</v>
      </c>
      <c r="F36" s="87" t="s">
        <v>104</v>
      </c>
    </row>
    <row r="37" spans="1:6" ht="28.2" thickBot="1" x14ac:dyDescent="0.35">
      <c r="A37" s="87" t="s">
        <v>133</v>
      </c>
      <c r="B37" s="87">
        <v>26</v>
      </c>
      <c r="C37" s="87" t="s">
        <v>134</v>
      </c>
      <c r="D37" s="88" t="s">
        <v>141</v>
      </c>
      <c r="E37" s="89">
        <v>1800</v>
      </c>
      <c r="F37" s="87" t="s">
        <v>104</v>
      </c>
    </row>
    <row r="38" spans="1:6" ht="15" thickBot="1" x14ac:dyDescent="0.35">
      <c r="A38" s="87" t="s">
        <v>133</v>
      </c>
      <c r="B38" s="87">
        <v>27</v>
      </c>
      <c r="C38" s="87" t="s">
        <v>134</v>
      </c>
      <c r="D38" s="88" t="s">
        <v>142</v>
      </c>
      <c r="E38" s="89">
        <v>6500</v>
      </c>
      <c r="F38" s="87" t="s">
        <v>104</v>
      </c>
    </row>
    <row r="39" spans="1:6" ht="15" thickBot="1" x14ac:dyDescent="0.35">
      <c r="A39" s="87" t="s">
        <v>133</v>
      </c>
      <c r="B39" s="87">
        <v>28</v>
      </c>
      <c r="C39" s="87" t="s">
        <v>134</v>
      </c>
      <c r="D39" s="88" t="s">
        <v>143</v>
      </c>
      <c r="E39" s="89">
        <v>4000</v>
      </c>
      <c r="F39" s="87" t="s">
        <v>104</v>
      </c>
    </row>
    <row r="40" spans="1:6" ht="15" thickBot="1" x14ac:dyDescent="0.35">
      <c r="A40" s="87" t="s">
        <v>133</v>
      </c>
      <c r="B40" s="87">
        <v>29</v>
      </c>
      <c r="C40" s="87" t="s">
        <v>134</v>
      </c>
      <c r="D40" s="88" t="s">
        <v>144</v>
      </c>
      <c r="E40" s="89">
        <v>18500</v>
      </c>
      <c r="F40" s="87" t="s">
        <v>104</v>
      </c>
    </row>
    <row r="41" spans="1:6" ht="15" thickBot="1" x14ac:dyDescent="0.35">
      <c r="A41" s="87" t="s">
        <v>145</v>
      </c>
      <c r="B41" s="87">
        <v>30</v>
      </c>
      <c r="C41" s="87" t="s">
        <v>146</v>
      </c>
      <c r="D41" s="88" t="s">
        <v>147</v>
      </c>
      <c r="E41" s="89">
        <v>28000</v>
      </c>
      <c r="F41" s="87" t="s">
        <v>104</v>
      </c>
    </row>
    <row r="42" spans="1:6" ht="15" thickBot="1" x14ac:dyDescent="0.35">
      <c r="A42" s="87" t="s">
        <v>145</v>
      </c>
      <c r="B42" s="87">
        <v>31</v>
      </c>
      <c r="C42" s="87" t="s">
        <v>146</v>
      </c>
      <c r="D42" s="88" t="s">
        <v>148</v>
      </c>
      <c r="E42" s="89">
        <v>18399.599999999999</v>
      </c>
      <c r="F42" s="87" t="s">
        <v>104</v>
      </c>
    </row>
    <row r="43" spans="1:6" ht="15" thickBot="1" x14ac:dyDescent="0.35">
      <c r="A43" s="87" t="s">
        <v>145</v>
      </c>
      <c r="B43" s="87">
        <v>32</v>
      </c>
      <c r="C43" s="87" t="s">
        <v>146</v>
      </c>
      <c r="D43" s="88" t="s">
        <v>149</v>
      </c>
      <c r="E43" s="89">
        <v>42200</v>
      </c>
      <c r="F43" s="87" t="s">
        <v>104</v>
      </c>
    </row>
    <row r="44" spans="1:6" ht="15" thickBot="1" x14ac:dyDescent="0.35">
      <c r="A44" s="87" t="s">
        <v>145</v>
      </c>
      <c r="B44" s="87">
        <v>33</v>
      </c>
      <c r="C44" s="87" t="s">
        <v>146</v>
      </c>
      <c r="D44" s="88" t="s">
        <v>150</v>
      </c>
      <c r="E44" s="89">
        <v>18000</v>
      </c>
      <c r="F44" s="87" t="s">
        <v>104</v>
      </c>
    </row>
    <row r="45" spans="1:6" ht="15" thickBot="1" x14ac:dyDescent="0.35">
      <c r="A45" s="87" t="s">
        <v>145</v>
      </c>
      <c r="B45" s="87">
        <v>34</v>
      </c>
      <c r="C45" s="87" t="s">
        <v>146</v>
      </c>
      <c r="D45" s="88" t="s">
        <v>151</v>
      </c>
      <c r="E45" s="89">
        <v>8000</v>
      </c>
      <c r="F45" s="87" t="s">
        <v>104</v>
      </c>
    </row>
    <row r="46" spans="1:6" ht="15" thickBot="1" x14ac:dyDescent="0.35">
      <c r="A46" s="87" t="s">
        <v>145</v>
      </c>
      <c r="B46" s="87">
        <v>35</v>
      </c>
      <c r="C46" s="87" t="s">
        <v>146</v>
      </c>
      <c r="D46" s="88" t="s">
        <v>152</v>
      </c>
      <c r="E46" s="89">
        <v>10000</v>
      </c>
      <c r="F46" s="87" t="s">
        <v>104</v>
      </c>
    </row>
    <row r="47" spans="1:6" ht="15" thickBot="1" x14ac:dyDescent="0.35">
      <c r="A47" s="87" t="s">
        <v>145</v>
      </c>
      <c r="B47" s="87">
        <v>36</v>
      </c>
      <c r="C47" s="87" t="s">
        <v>146</v>
      </c>
      <c r="D47" s="88" t="s">
        <v>153</v>
      </c>
      <c r="E47" s="89">
        <v>45000</v>
      </c>
      <c r="F47" s="87" t="s">
        <v>104</v>
      </c>
    </row>
    <row r="48" spans="1:6" ht="15" thickBot="1" x14ac:dyDescent="0.35">
      <c r="A48" s="87" t="s">
        <v>154</v>
      </c>
      <c r="B48" s="87">
        <v>37</v>
      </c>
      <c r="C48" s="87" t="s">
        <v>155</v>
      </c>
      <c r="D48" s="88" t="s">
        <v>156</v>
      </c>
      <c r="E48" s="89">
        <v>6000</v>
      </c>
      <c r="F48" s="87" t="s">
        <v>104</v>
      </c>
    </row>
    <row r="49" spans="1:6" ht="15" thickBot="1" x14ac:dyDescent="0.35">
      <c r="A49" s="87" t="s">
        <v>154</v>
      </c>
      <c r="B49" s="87">
        <v>38</v>
      </c>
      <c r="C49" s="87" t="s">
        <v>155</v>
      </c>
      <c r="D49" s="88" t="s">
        <v>157</v>
      </c>
      <c r="E49" s="89">
        <v>20000</v>
      </c>
      <c r="F49" s="87" t="s">
        <v>104</v>
      </c>
    </row>
    <row r="50" spans="1:6" ht="15" thickBot="1" x14ac:dyDescent="0.35">
      <c r="A50" s="87" t="s">
        <v>158</v>
      </c>
      <c r="B50" s="87">
        <v>39</v>
      </c>
      <c r="C50" s="87" t="s">
        <v>159</v>
      </c>
      <c r="D50" s="88" t="s">
        <v>160</v>
      </c>
      <c r="E50" s="89">
        <v>9990</v>
      </c>
      <c r="F50" s="87" t="s">
        <v>104</v>
      </c>
    </row>
    <row r="51" spans="1:6" ht="15" thickBot="1" x14ac:dyDescent="0.35">
      <c r="A51" s="87" t="s">
        <v>158</v>
      </c>
      <c r="B51" s="87">
        <v>40</v>
      </c>
      <c r="C51" s="87" t="s">
        <v>159</v>
      </c>
      <c r="D51" s="88" t="s">
        <v>161</v>
      </c>
      <c r="E51" s="89">
        <v>3980</v>
      </c>
      <c r="F51" s="87" t="s">
        <v>104</v>
      </c>
    </row>
    <row r="52" spans="1:6" ht="15" thickBot="1" x14ac:dyDescent="0.35">
      <c r="A52" s="87" t="s">
        <v>158</v>
      </c>
      <c r="B52" s="87">
        <v>41</v>
      </c>
      <c r="C52" s="87" t="s">
        <v>159</v>
      </c>
      <c r="D52" s="88" t="s">
        <v>162</v>
      </c>
      <c r="E52" s="89">
        <v>9000</v>
      </c>
      <c r="F52" s="87" t="s">
        <v>104</v>
      </c>
    </row>
    <row r="53" spans="1:6" ht="15" thickBot="1" x14ac:dyDescent="0.35">
      <c r="A53" s="87" t="s">
        <v>158</v>
      </c>
      <c r="B53" s="87">
        <v>42</v>
      </c>
      <c r="C53" s="87" t="s">
        <v>159</v>
      </c>
      <c r="D53" s="88" t="s">
        <v>163</v>
      </c>
      <c r="E53" s="89">
        <v>6000</v>
      </c>
      <c r="F53" s="87" t="s">
        <v>104</v>
      </c>
    </row>
    <row r="54" spans="1:6" ht="15" thickBot="1" x14ac:dyDescent="0.35">
      <c r="A54" s="87" t="s">
        <v>158</v>
      </c>
      <c r="B54" s="87">
        <v>43</v>
      </c>
      <c r="C54" s="87" t="s">
        <v>159</v>
      </c>
      <c r="D54" s="88" t="s">
        <v>164</v>
      </c>
      <c r="E54" s="89">
        <v>30000</v>
      </c>
      <c r="F54" s="87" t="s">
        <v>104</v>
      </c>
    </row>
    <row r="55" spans="1:6" ht="15" thickBot="1" x14ac:dyDescent="0.35">
      <c r="A55" s="87" t="s">
        <v>165</v>
      </c>
      <c r="B55" s="87">
        <v>44</v>
      </c>
      <c r="C55" s="87" t="s">
        <v>166</v>
      </c>
      <c r="D55" s="88" t="s">
        <v>167</v>
      </c>
      <c r="E55" s="89">
        <v>110000</v>
      </c>
      <c r="F55" s="87" t="s">
        <v>104</v>
      </c>
    </row>
    <row r="56" spans="1:6" ht="15" thickBot="1" x14ac:dyDescent="0.35">
      <c r="A56" s="87" t="s">
        <v>126</v>
      </c>
      <c r="B56" s="87">
        <v>45</v>
      </c>
      <c r="C56" s="87" t="s">
        <v>168</v>
      </c>
      <c r="D56" s="88" t="s">
        <v>169</v>
      </c>
      <c r="E56" s="89">
        <v>109000</v>
      </c>
      <c r="F56" s="87" t="s">
        <v>104</v>
      </c>
    </row>
    <row r="57" spans="1:6" ht="15" thickBot="1" x14ac:dyDescent="0.35">
      <c r="A57" s="87" t="s">
        <v>170</v>
      </c>
      <c r="B57" s="87">
        <v>46</v>
      </c>
      <c r="C57" s="87" t="s">
        <v>171</v>
      </c>
      <c r="D57" s="88" t="s">
        <v>172</v>
      </c>
      <c r="E57" s="89">
        <v>180000</v>
      </c>
      <c r="F57" s="87" t="s">
        <v>104</v>
      </c>
    </row>
    <row r="58" spans="1:6" x14ac:dyDescent="0.3">
      <c r="A58" s="19" t="s">
        <v>14</v>
      </c>
      <c r="B58" s="3"/>
    </row>
    <row r="59" spans="1:6" x14ac:dyDescent="0.3">
      <c r="A59" s="19"/>
      <c r="B59" s="3"/>
    </row>
    <row r="60" spans="1:6" x14ac:dyDescent="0.3">
      <c r="A60" s="3"/>
      <c r="B60" s="3"/>
    </row>
    <row r="61" spans="1:6" x14ac:dyDescent="0.3">
      <c r="A61" s="18" t="s">
        <v>75</v>
      </c>
      <c r="B61" s="18"/>
    </row>
    <row r="62" spans="1:6" x14ac:dyDescent="0.3">
      <c r="A62" s="5" t="s">
        <v>76</v>
      </c>
      <c r="B62" s="5"/>
    </row>
    <row r="63" spans="1:6" x14ac:dyDescent="0.3">
      <c r="A63" s="5"/>
      <c r="B63" s="5"/>
    </row>
    <row r="64" spans="1:6" x14ac:dyDescent="0.3">
      <c r="A64" s="3"/>
      <c r="B64" s="3"/>
    </row>
    <row r="65" spans="1:1" x14ac:dyDescent="0.3">
      <c r="A65" s="18" t="s">
        <v>51</v>
      </c>
    </row>
    <row r="66" spans="1:1" x14ac:dyDescent="0.3">
      <c r="A66" s="5"/>
    </row>
    <row r="67" spans="1:1" x14ac:dyDescent="0.3">
      <c r="A67" s="18" t="s">
        <v>77</v>
      </c>
    </row>
    <row r="68" spans="1:1" x14ac:dyDescent="0.3">
      <c r="A68" s="5" t="s">
        <v>78</v>
      </c>
    </row>
  </sheetData>
  <mergeCells count="2">
    <mergeCell ref="A8:F8"/>
    <mergeCell ref="A9:F9"/>
  </mergeCells>
  <pageMargins left="0.7" right="0.7" top="0.75" bottom="0.75" header="0.3" footer="0.3"/>
  <pageSetup paperSize="9" scale="66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E9B95-9E50-4929-976F-11A995D1017C}">
  <sheetPr>
    <pageSetUpPr fitToPage="1"/>
  </sheetPr>
  <dimension ref="A10:I60"/>
  <sheetViews>
    <sheetView view="pageBreakPreview" topLeftCell="A7" zoomScale="55" zoomScaleNormal="70" zoomScaleSheetLayoutView="55" zoomScalePageLayoutView="40" workbookViewId="0">
      <selection activeCell="O10" sqref="O10"/>
    </sheetView>
  </sheetViews>
  <sheetFormatPr defaultColWidth="9.109375" defaultRowHeight="14.4" x14ac:dyDescent="0.3"/>
  <cols>
    <col min="1" max="1" width="7.5546875" customWidth="1"/>
    <col min="2" max="2" width="26.109375" customWidth="1"/>
    <col min="3" max="3" width="29.44140625" customWidth="1"/>
    <col min="4" max="4" width="14.33203125" style="86" customWidth="1"/>
    <col min="5" max="5" width="21.44140625" customWidth="1"/>
    <col min="6" max="6" width="12.88671875" customWidth="1"/>
    <col min="7" max="7" width="22.5546875" customWidth="1"/>
    <col min="8" max="8" width="17.5546875" customWidth="1"/>
    <col min="9" max="9" width="11.5546875" customWidth="1"/>
  </cols>
  <sheetData>
    <row r="10" spans="1:9" ht="18" customHeight="1" x14ac:dyDescent="0.3">
      <c r="A10" s="126" t="s">
        <v>175</v>
      </c>
      <c r="B10" s="126"/>
      <c r="C10" s="126"/>
      <c r="D10" s="126"/>
      <c r="E10" s="126"/>
      <c r="F10" s="126"/>
      <c r="G10" s="126"/>
      <c r="H10" s="126"/>
      <c r="I10" s="126"/>
    </row>
    <row r="11" spans="1:9" ht="17.399999999999999" x14ac:dyDescent="0.3">
      <c r="A11" s="124" t="s">
        <v>177</v>
      </c>
      <c r="B11" s="124"/>
      <c r="C11" s="124"/>
      <c r="D11" s="124"/>
      <c r="E11" s="124"/>
      <c r="F11" s="124"/>
      <c r="G11" s="124"/>
      <c r="H11" s="124"/>
      <c r="I11" s="124"/>
    </row>
    <row r="13" spans="1:9" ht="34.799999999999997" x14ac:dyDescent="0.3">
      <c r="A13" s="92" t="s">
        <v>178</v>
      </c>
      <c r="B13" s="92" t="s">
        <v>179</v>
      </c>
      <c r="C13" s="93" t="s">
        <v>180</v>
      </c>
      <c r="D13" s="92" t="s">
        <v>181</v>
      </c>
      <c r="E13" s="127" t="s">
        <v>182</v>
      </c>
      <c r="F13" s="128"/>
      <c r="G13" s="97" t="s">
        <v>5</v>
      </c>
      <c r="H13" s="99" t="s">
        <v>183</v>
      </c>
      <c r="I13" s="93" t="s">
        <v>176</v>
      </c>
    </row>
    <row r="14" spans="1:9" ht="26.25" customHeight="1" x14ac:dyDescent="0.3">
      <c r="A14" s="94">
        <v>1</v>
      </c>
      <c r="B14" s="95" t="s">
        <v>186</v>
      </c>
      <c r="C14" s="95" t="s">
        <v>187</v>
      </c>
      <c r="D14" s="96" t="s">
        <v>188</v>
      </c>
      <c r="E14" s="125" t="s">
        <v>189</v>
      </c>
      <c r="F14" s="125"/>
      <c r="G14" s="95" t="s">
        <v>190</v>
      </c>
      <c r="H14" s="96" t="s">
        <v>188</v>
      </c>
      <c r="I14" s="98" t="s">
        <v>277</v>
      </c>
    </row>
    <row r="15" spans="1:9" ht="15.75" customHeight="1" x14ac:dyDescent="0.3">
      <c r="A15" s="94">
        <v>2</v>
      </c>
      <c r="B15" s="95" t="s">
        <v>191</v>
      </c>
      <c r="C15" s="95" t="s">
        <v>192</v>
      </c>
      <c r="D15" s="96" t="s">
        <v>193</v>
      </c>
      <c r="E15" s="125" t="s">
        <v>189</v>
      </c>
      <c r="F15" s="125"/>
      <c r="G15" s="95" t="s">
        <v>190</v>
      </c>
      <c r="H15" s="96" t="s">
        <v>193</v>
      </c>
      <c r="I15" s="98" t="s">
        <v>277</v>
      </c>
    </row>
    <row r="16" spans="1:9" x14ac:dyDescent="0.3">
      <c r="A16" s="94">
        <v>3</v>
      </c>
      <c r="B16" s="95" t="s">
        <v>194</v>
      </c>
      <c r="C16" s="95" t="s">
        <v>195</v>
      </c>
      <c r="D16" s="96" t="s">
        <v>196</v>
      </c>
      <c r="E16" s="125" t="s">
        <v>197</v>
      </c>
      <c r="F16" s="125"/>
      <c r="G16" s="95" t="s">
        <v>198</v>
      </c>
      <c r="H16" s="96" t="s">
        <v>196</v>
      </c>
      <c r="I16" s="98" t="s">
        <v>277</v>
      </c>
    </row>
    <row r="17" spans="1:9" x14ac:dyDescent="0.3">
      <c r="A17" s="94">
        <v>4</v>
      </c>
      <c r="B17" s="95" t="s">
        <v>199</v>
      </c>
      <c r="C17" s="95" t="s">
        <v>200</v>
      </c>
      <c r="D17" s="96" t="s">
        <v>196</v>
      </c>
      <c r="E17" s="125" t="s">
        <v>197</v>
      </c>
      <c r="F17" s="125"/>
      <c r="G17" s="95" t="s">
        <v>190</v>
      </c>
      <c r="H17" s="96" t="s">
        <v>196</v>
      </c>
      <c r="I17" s="98" t="s">
        <v>277</v>
      </c>
    </row>
    <row r="18" spans="1:9" x14ac:dyDescent="0.3">
      <c r="A18" s="94">
        <v>5</v>
      </c>
      <c r="B18" s="95" t="s">
        <v>186</v>
      </c>
      <c r="C18" s="95" t="s">
        <v>201</v>
      </c>
      <c r="D18" s="96" t="s">
        <v>202</v>
      </c>
      <c r="E18" s="125" t="s">
        <v>189</v>
      </c>
      <c r="F18" s="125"/>
      <c r="G18" s="95" t="s">
        <v>190</v>
      </c>
      <c r="H18" s="96" t="s">
        <v>202</v>
      </c>
      <c r="I18" s="98" t="s">
        <v>277</v>
      </c>
    </row>
    <row r="19" spans="1:9" x14ac:dyDescent="0.3">
      <c r="A19" s="94">
        <v>6</v>
      </c>
      <c r="B19" s="95" t="s">
        <v>203</v>
      </c>
      <c r="C19" s="95" t="s">
        <v>204</v>
      </c>
      <c r="D19" s="96" t="s">
        <v>205</v>
      </c>
      <c r="E19" s="125" t="s">
        <v>197</v>
      </c>
      <c r="F19" s="125"/>
      <c r="G19" s="95" t="s">
        <v>190</v>
      </c>
      <c r="H19" s="96" t="s">
        <v>205</v>
      </c>
      <c r="I19" s="98" t="s">
        <v>277</v>
      </c>
    </row>
    <row r="20" spans="1:9" x14ac:dyDescent="0.3">
      <c r="A20" s="94">
        <v>7</v>
      </c>
      <c r="B20" s="95" t="s">
        <v>206</v>
      </c>
      <c r="C20" s="95" t="s">
        <v>207</v>
      </c>
      <c r="D20" s="96" t="s">
        <v>208</v>
      </c>
      <c r="E20" s="125" t="s">
        <v>197</v>
      </c>
      <c r="F20" s="125"/>
      <c r="G20" s="95" t="s">
        <v>198</v>
      </c>
      <c r="H20" s="96" t="s">
        <v>208</v>
      </c>
      <c r="I20" s="98" t="s">
        <v>277</v>
      </c>
    </row>
    <row r="21" spans="1:9" ht="27.6" x14ac:dyDescent="0.3">
      <c r="A21" s="94">
        <v>8</v>
      </c>
      <c r="B21" s="95" t="s">
        <v>209</v>
      </c>
      <c r="C21" s="95" t="s">
        <v>210</v>
      </c>
      <c r="D21" s="96" t="s">
        <v>211</v>
      </c>
      <c r="E21" s="125" t="s">
        <v>197</v>
      </c>
      <c r="F21" s="125"/>
      <c r="G21" s="95" t="s">
        <v>190</v>
      </c>
      <c r="H21" s="96" t="s">
        <v>211</v>
      </c>
      <c r="I21" s="98" t="s">
        <v>277</v>
      </c>
    </row>
    <row r="22" spans="1:9" x14ac:dyDescent="0.3">
      <c r="A22" s="94">
        <v>9</v>
      </c>
      <c r="B22" s="95" t="s">
        <v>212</v>
      </c>
      <c r="C22" s="95" t="s">
        <v>213</v>
      </c>
      <c r="D22" s="96" t="s">
        <v>214</v>
      </c>
      <c r="E22" s="125" t="s">
        <v>197</v>
      </c>
      <c r="F22" s="125"/>
      <c r="G22" s="95" t="s">
        <v>190</v>
      </c>
      <c r="H22" s="96" t="s">
        <v>214</v>
      </c>
      <c r="I22" s="98" t="s">
        <v>277</v>
      </c>
    </row>
    <row r="23" spans="1:9" ht="30" customHeight="1" x14ac:dyDescent="0.3">
      <c r="A23" s="94">
        <v>10</v>
      </c>
      <c r="B23" s="95" t="s">
        <v>199</v>
      </c>
      <c r="C23" s="95" t="s">
        <v>215</v>
      </c>
      <c r="D23" s="96" t="s">
        <v>214</v>
      </c>
      <c r="E23" s="125" t="s">
        <v>216</v>
      </c>
      <c r="F23" s="125"/>
      <c r="G23" s="95" t="s">
        <v>190</v>
      </c>
      <c r="H23" s="96" t="s">
        <v>214</v>
      </c>
      <c r="I23" s="98" t="s">
        <v>277</v>
      </c>
    </row>
    <row r="24" spans="1:9" x14ac:dyDescent="0.3">
      <c r="A24" s="94">
        <v>11</v>
      </c>
      <c r="B24" s="95" t="s">
        <v>217</v>
      </c>
      <c r="C24" s="95" t="s">
        <v>218</v>
      </c>
      <c r="D24" s="96" t="s">
        <v>219</v>
      </c>
      <c r="E24" s="125" t="s">
        <v>189</v>
      </c>
      <c r="F24" s="125"/>
      <c r="G24" s="95" t="s">
        <v>190</v>
      </c>
      <c r="H24" s="96" t="s">
        <v>219</v>
      </c>
      <c r="I24" s="98" t="s">
        <v>277</v>
      </c>
    </row>
    <row r="25" spans="1:9" x14ac:dyDescent="0.3">
      <c r="A25" s="94">
        <v>12</v>
      </c>
      <c r="B25" s="95" t="s">
        <v>220</v>
      </c>
      <c r="C25" s="95" t="s">
        <v>221</v>
      </c>
      <c r="D25" s="96" t="s">
        <v>222</v>
      </c>
      <c r="E25" s="125" t="s">
        <v>189</v>
      </c>
      <c r="F25" s="125"/>
      <c r="G25" s="95" t="s">
        <v>190</v>
      </c>
      <c r="H25" s="96" t="s">
        <v>222</v>
      </c>
      <c r="I25" s="98" t="s">
        <v>277</v>
      </c>
    </row>
    <row r="26" spans="1:9" x14ac:dyDescent="0.3">
      <c r="A26" s="94">
        <v>13</v>
      </c>
      <c r="B26" s="95" t="s">
        <v>223</v>
      </c>
      <c r="C26" s="95" t="s">
        <v>224</v>
      </c>
      <c r="D26" s="96" t="s">
        <v>225</v>
      </c>
      <c r="E26" s="125" t="s">
        <v>189</v>
      </c>
      <c r="F26" s="125"/>
      <c r="G26" s="95" t="s">
        <v>190</v>
      </c>
      <c r="H26" s="96" t="s">
        <v>225</v>
      </c>
      <c r="I26" s="98" t="s">
        <v>277</v>
      </c>
    </row>
    <row r="27" spans="1:9" x14ac:dyDescent="0.3">
      <c r="A27" s="94">
        <v>14</v>
      </c>
      <c r="B27" s="95" t="s">
        <v>226</v>
      </c>
      <c r="C27" s="95" t="s">
        <v>227</v>
      </c>
      <c r="D27" s="96" t="s">
        <v>228</v>
      </c>
      <c r="E27" s="125" t="s">
        <v>229</v>
      </c>
      <c r="F27" s="125"/>
      <c r="G27" s="95" t="s">
        <v>190</v>
      </c>
      <c r="H27" s="96" t="s">
        <v>228</v>
      </c>
      <c r="I27" s="98" t="s">
        <v>277</v>
      </c>
    </row>
    <row r="28" spans="1:9" x14ac:dyDescent="0.3">
      <c r="A28" s="94">
        <v>15</v>
      </c>
      <c r="B28" s="95" t="s">
        <v>226</v>
      </c>
      <c r="C28" s="95" t="s">
        <v>227</v>
      </c>
      <c r="D28" s="96" t="s">
        <v>228</v>
      </c>
      <c r="E28" s="125" t="s">
        <v>230</v>
      </c>
      <c r="F28" s="125"/>
      <c r="G28" s="95" t="s">
        <v>190</v>
      </c>
      <c r="H28" s="96" t="s">
        <v>228</v>
      </c>
      <c r="I28" s="98" t="s">
        <v>277</v>
      </c>
    </row>
    <row r="29" spans="1:9" x14ac:dyDescent="0.3">
      <c r="A29" s="94">
        <v>16</v>
      </c>
      <c r="B29" s="95" t="s">
        <v>186</v>
      </c>
      <c r="C29" s="95" t="s">
        <v>231</v>
      </c>
      <c r="D29" s="96" t="s">
        <v>232</v>
      </c>
      <c r="E29" s="125" t="s">
        <v>233</v>
      </c>
      <c r="F29" s="125"/>
      <c r="G29" s="95" t="s">
        <v>190</v>
      </c>
      <c r="H29" s="96" t="s">
        <v>232</v>
      </c>
      <c r="I29" s="98" t="s">
        <v>277</v>
      </c>
    </row>
    <row r="30" spans="1:9" x14ac:dyDescent="0.3">
      <c r="A30" s="94">
        <v>17</v>
      </c>
      <c r="B30" s="95" t="s">
        <v>220</v>
      </c>
      <c r="C30" s="95" t="s">
        <v>221</v>
      </c>
      <c r="D30" s="96" t="s">
        <v>232</v>
      </c>
      <c r="E30" s="125" t="s">
        <v>197</v>
      </c>
      <c r="F30" s="125"/>
      <c r="G30" s="95" t="s">
        <v>190</v>
      </c>
      <c r="H30" s="96" t="s">
        <v>232</v>
      </c>
      <c r="I30" s="98" t="s">
        <v>277</v>
      </c>
    </row>
    <row r="31" spans="1:9" x14ac:dyDescent="0.3">
      <c r="A31" s="94">
        <v>18</v>
      </c>
      <c r="B31" s="95" t="s">
        <v>234</v>
      </c>
      <c r="C31" s="95" t="s">
        <v>235</v>
      </c>
      <c r="D31" s="96" t="s">
        <v>236</v>
      </c>
      <c r="E31" s="125" t="s">
        <v>237</v>
      </c>
      <c r="F31" s="125"/>
      <c r="G31" s="95" t="s">
        <v>190</v>
      </c>
      <c r="H31" s="96" t="s">
        <v>236</v>
      </c>
      <c r="I31" s="98" t="s">
        <v>277</v>
      </c>
    </row>
    <row r="32" spans="1:9" ht="27.6" x14ac:dyDescent="0.3">
      <c r="A32" s="94">
        <v>19</v>
      </c>
      <c r="B32" s="95" t="s">
        <v>191</v>
      </c>
      <c r="C32" s="95" t="s">
        <v>238</v>
      </c>
      <c r="D32" s="96" t="s">
        <v>239</v>
      </c>
      <c r="E32" s="125" t="s">
        <v>197</v>
      </c>
      <c r="F32" s="125"/>
      <c r="G32" s="95" t="s">
        <v>190</v>
      </c>
      <c r="H32" s="96" t="s">
        <v>239</v>
      </c>
      <c r="I32" s="98" t="s">
        <v>277</v>
      </c>
    </row>
    <row r="33" spans="1:9" ht="27.6" x14ac:dyDescent="0.3">
      <c r="A33" s="94">
        <v>20</v>
      </c>
      <c r="B33" s="95" t="s">
        <v>240</v>
      </c>
      <c r="C33" s="95" t="s">
        <v>241</v>
      </c>
      <c r="D33" s="96" t="s">
        <v>242</v>
      </c>
      <c r="E33" s="125" t="s">
        <v>230</v>
      </c>
      <c r="F33" s="125"/>
      <c r="G33" s="95" t="s">
        <v>190</v>
      </c>
      <c r="H33" s="96" t="s">
        <v>242</v>
      </c>
      <c r="I33" s="98" t="s">
        <v>277</v>
      </c>
    </row>
    <row r="34" spans="1:9" ht="27.6" x14ac:dyDescent="0.3">
      <c r="A34" s="94">
        <v>21</v>
      </c>
      <c r="B34" s="95" t="s">
        <v>243</v>
      </c>
      <c r="C34" s="95" t="s">
        <v>244</v>
      </c>
      <c r="D34" s="96" t="s">
        <v>245</v>
      </c>
      <c r="E34" s="125" t="s">
        <v>189</v>
      </c>
      <c r="F34" s="125"/>
      <c r="G34" s="95" t="s">
        <v>190</v>
      </c>
      <c r="H34" s="96" t="s">
        <v>245</v>
      </c>
      <c r="I34" s="98" t="s">
        <v>277</v>
      </c>
    </row>
    <row r="35" spans="1:9" ht="27.6" x14ac:dyDescent="0.3">
      <c r="A35" s="94">
        <v>22</v>
      </c>
      <c r="B35" s="95" t="s">
        <v>223</v>
      </c>
      <c r="C35" s="95" t="s">
        <v>246</v>
      </c>
      <c r="D35" s="96" t="s">
        <v>247</v>
      </c>
      <c r="E35" s="125" t="s">
        <v>248</v>
      </c>
      <c r="F35" s="125"/>
      <c r="G35" s="95" t="s">
        <v>190</v>
      </c>
      <c r="H35" s="96" t="s">
        <v>247</v>
      </c>
      <c r="I35" s="98" t="s">
        <v>277</v>
      </c>
    </row>
    <row r="36" spans="1:9" x14ac:dyDescent="0.3">
      <c r="A36" s="94">
        <v>23</v>
      </c>
      <c r="B36" s="95" t="s">
        <v>191</v>
      </c>
      <c r="C36" s="95" t="s">
        <v>249</v>
      </c>
      <c r="D36" s="96" t="s">
        <v>250</v>
      </c>
      <c r="E36" s="125" t="s">
        <v>251</v>
      </c>
      <c r="F36" s="125"/>
      <c r="G36" s="95" t="s">
        <v>190</v>
      </c>
      <c r="H36" s="96" t="s">
        <v>250</v>
      </c>
      <c r="I36" s="98" t="s">
        <v>277</v>
      </c>
    </row>
    <row r="37" spans="1:9" x14ac:dyDescent="0.3">
      <c r="A37" s="94">
        <v>24</v>
      </c>
      <c r="B37" s="95" t="s">
        <v>191</v>
      </c>
      <c r="C37" s="95" t="s">
        <v>238</v>
      </c>
      <c r="D37" s="96" t="s">
        <v>250</v>
      </c>
      <c r="E37" s="125" t="s">
        <v>189</v>
      </c>
      <c r="F37" s="125"/>
      <c r="G37" s="95" t="s">
        <v>190</v>
      </c>
      <c r="H37" s="96" t="s">
        <v>250</v>
      </c>
      <c r="I37" s="98" t="s">
        <v>277</v>
      </c>
    </row>
    <row r="38" spans="1:9" x14ac:dyDescent="0.3">
      <c r="A38" s="94">
        <v>25</v>
      </c>
      <c r="B38" s="95" t="s">
        <v>252</v>
      </c>
      <c r="C38" s="95" t="s">
        <v>253</v>
      </c>
      <c r="D38" s="96" t="s">
        <v>254</v>
      </c>
      <c r="E38" s="125" t="s">
        <v>255</v>
      </c>
      <c r="F38" s="125"/>
      <c r="G38" s="95" t="s">
        <v>190</v>
      </c>
      <c r="H38" s="96" t="s">
        <v>254</v>
      </c>
      <c r="I38" s="98" t="s">
        <v>277</v>
      </c>
    </row>
    <row r="39" spans="1:9" x14ac:dyDescent="0.3">
      <c r="A39" s="94">
        <v>26</v>
      </c>
      <c r="B39" s="95" t="s">
        <v>226</v>
      </c>
      <c r="C39" s="95" t="s">
        <v>227</v>
      </c>
      <c r="D39" s="96" t="s">
        <v>256</v>
      </c>
      <c r="E39" s="125" t="s">
        <v>229</v>
      </c>
      <c r="F39" s="125"/>
      <c r="G39" s="95" t="s">
        <v>190</v>
      </c>
      <c r="H39" s="96" t="s">
        <v>256</v>
      </c>
      <c r="I39" s="98" t="s">
        <v>277</v>
      </c>
    </row>
    <row r="40" spans="1:9" x14ac:dyDescent="0.3">
      <c r="A40" s="94">
        <v>27</v>
      </c>
      <c r="B40" s="95" t="s">
        <v>257</v>
      </c>
      <c r="C40" s="95" t="s">
        <v>258</v>
      </c>
      <c r="D40" s="96" t="s">
        <v>259</v>
      </c>
      <c r="E40" s="125" t="s">
        <v>189</v>
      </c>
      <c r="F40" s="125"/>
      <c r="G40" s="95" t="s">
        <v>190</v>
      </c>
      <c r="H40" s="96" t="s">
        <v>259</v>
      </c>
      <c r="I40" s="98" t="s">
        <v>277</v>
      </c>
    </row>
    <row r="41" spans="1:9" x14ac:dyDescent="0.3">
      <c r="A41" s="94">
        <v>28</v>
      </c>
      <c r="B41" s="95" t="s">
        <v>260</v>
      </c>
      <c r="C41" s="95" t="s">
        <v>261</v>
      </c>
      <c r="D41" s="96" t="s">
        <v>259</v>
      </c>
      <c r="E41" s="125" t="s">
        <v>197</v>
      </c>
      <c r="F41" s="125"/>
      <c r="G41" s="95" t="s">
        <v>190</v>
      </c>
      <c r="H41" s="96" t="s">
        <v>259</v>
      </c>
      <c r="I41" s="98" t="s">
        <v>277</v>
      </c>
    </row>
    <row r="42" spans="1:9" x14ac:dyDescent="0.3">
      <c r="A42" s="94">
        <v>29</v>
      </c>
      <c r="B42" s="95" t="s">
        <v>240</v>
      </c>
      <c r="C42" s="95" t="s">
        <v>262</v>
      </c>
      <c r="D42" s="96" t="s">
        <v>263</v>
      </c>
      <c r="E42" s="125" t="s">
        <v>197</v>
      </c>
      <c r="F42" s="125"/>
      <c r="G42" s="95" t="s">
        <v>190</v>
      </c>
      <c r="H42" s="96" t="s">
        <v>263</v>
      </c>
      <c r="I42" s="98" t="s">
        <v>277</v>
      </c>
    </row>
    <row r="43" spans="1:9" x14ac:dyDescent="0.3">
      <c r="A43" s="94">
        <v>30</v>
      </c>
      <c r="B43" s="95" t="s">
        <v>240</v>
      </c>
      <c r="C43" s="95" t="s">
        <v>264</v>
      </c>
      <c r="D43" s="96" t="s">
        <v>265</v>
      </c>
      <c r="E43" s="125" t="s">
        <v>266</v>
      </c>
      <c r="F43" s="125"/>
      <c r="G43" s="95" t="s">
        <v>190</v>
      </c>
      <c r="H43" s="96" t="s">
        <v>265</v>
      </c>
      <c r="I43" s="98" t="s">
        <v>277</v>
      </c>
    </row>
    <row r="44" spans="1:9" x14ac:dyDescent="0.3">
      <c r="A44" s="94">
        <v>31</v>
      </c>
      <c r="B44" s="95" t="s">
        <v>257</v>
      </c>
      <c r="C44" s="95" t="s">
        <v>267</v>
      </c>
      <c r="D44" s="96" t="s">
        <v>268</v>
      </c>
      <c r="E44" s="125" t="s">
        <v>230</v>
      </c>
      <c r="F44" s="125"/>
      <c r="G44" s="95" t="s">
        <v>190</v>
      </c>
      <c r="H44" s="96" t="s">
        <v>268</v>
      </c>
      <c r="I44" s="98" t="s">
        <v>277</v>
      </c>
    </row>
    <row r="45" spans="1:9" ht="27" customHeight="1" x14ac:dyDescent="0.3">
      <c r="A45" s="94">
        <v>32</v>
      </c>
      <c r="B45" s="95" t="s">
        <v>269</v>
      </c>
      <c r="C45" s="95" t="s">
        <v>270</v>
      </c>
      <c r="D45" s="96" t="s">
        <v>271</v>
      </c>
      <c r="E45" s="125" t="s">
        <v>272</v>
      </c>
      <c r="F45" s="125"/>
      <c r="G45" s="95" t="s">
        <v>190</v>
      </c>
      <c r="H45" s="96" t="s">
        <v>271</v>
      </c>
      <c r="I45" s="98" t="s">
        <v>277</v>
      </c>
    </row>
    <row r="46" spans="1:9" x14ac:dyDescent="0.3">
      <c r="A46" s="94">
        <v>33</v>
      </c>
      <c r="B46" s="95" t="s">
        <v>273</v>
      </c>
      <c r="C46" s="95" t="s">
        <v>274</v>
      </c>
      <c r="D46" s="96" t="s">
        <v>275</v>
      </c>
      <c r="E46" s="125" t="s">
        <v>276</v>
      </c>
      <c r="F46" s="125"/>
      <c r="G46" s="95" t="s">
        <v>190</v>
      </c>
      <c r="H46" s="96" t="s">
        <v>275</v>
      </c>
      <c r="I46" s="98" t="s">
        <v>277</v>
      </c>
    </row>
    <row r="47" spans="1:9" x14ac:dyDescent="0.3">
      <c r="A47" s="19" t="s">
        <v>14</v>
      </c>
      <c r="B47" s="3"/>
      <c r="E47" s="86"/>
      <c r="F47" s="86"/>
    </row>
    <row r="48" spans="1:9" x14ac:dyDescent="0.3">
      <c r="A48" s="19"/>
      <c r="B48" s="3"/>
      <c r="E48" s="86"/>
      <c r="F48" s="86"/>
    </row>
    <row r="49" spans="1:6" x14ac:dyDescent="0.3">
      <c r="A49" s="19"/>
      <c r="B49" s="3"/>
      <c r="E49" s="86"/>
      <c r="F49" s="86"/>
    </row>
    <row r="50" spans="1:6" x14ac:dyDescent="0.3">
      <c r="A50" s="19"/>
      <c r="B50" s="3"/>
    </row>
    <row r="51" spans="1:6" x14ac:dyDescent="0.3">
      <c r="A51" s="3"/>
      <c r="B51" s="3"/>
    </row>
    <row r="52" spans="1:6" x14ac:dyDescent="0.3">
      <c r="A52" s="18" t="s">
        <v>75</v>
      </c>
      <c r="B52" s="18"/>
    </row>
    <row r="53" spans="1:6" x14ac:dyDescent="0.3">
      <c r="A53" s="5" t="s">
        <v>76</v>
      </c>
      <c r="B53" s="5"/>
    </row>
    <row r="54" spans="1:6" x14ac:dyDescent="0.3">
      <c r="A54" s="5"/>
      <c r="B54" s="5"/>
    </row>
    <row r="55" spans="1:6" x14ac:dyDescent="0.3">
      <c r="A55" s="3"/>
      <c r="B55" s="3"/>
    </row>
    <row r="56" spans="1:6" x14ac:dyDescent="0.3">
      <c r="A56" s="18" t="s">
        <v>51</v>
      </c>
    </row>
    <row r="57" spans="1:6" x14ac:dyDescent="0.3">
      <c r="A57" s="5"/>
    </row>
    <row r="58" spans="1:6" x14ac:dyDescent="0.3">
      <c r="A58" s="18" t="s">
        <v>77</v>
      </c>
    </row>
    <row r="59" spans="1:6" x14ac:dyDescent="0.3">
      <c r="A59" s="5" t="s">
        <v>78</v>
      </c>
    </row>
    <row r="60" spans="1:6" x14ac:dyDescent="0.3">
      <c r="A60" s="5"/>
    </row>
  </sheetData>
  <mergeCells count="36">
    <mergeCell ref="A10:I10"/>
    <mergeCell ref="A11:I11"/>
    <mergeCell ref="E13:F13"/>
    <mergeCell ref="E25:F25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44:F44"/>
    <mergeCell ref="E45:F45"/>
    <mergeCell ref="E46:F46"/>
    <mergeCell ref="E38:F38"/>
    <mergeCell ref="E39:F39"/>
    <mergeCell ref="E40:F40"/>
    <mergeCell ref="E41:F41"/>
    <mergeCell ref="E42:F42"/>
    <mergeCell ref="E43:F43"/>
  </mergeCells>
  <pageMargins left="0.7" right="0.7" top="0.75" bottom="0.75" header="0.3" footer="0.3"/>
  <pageSetup paperSize="9" scale="53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8DCF0-151D-4CD8-A14F-0B8CF7C2526E}">
  <dimension ref="A1:F34"/>
  <sheetViews>
    <sheetView zoomScale="70" zoomScaleNormal="70" workbookViewId="0">
      <selection activeCell="E42" sqref="E42"/>
    </sheetView>
  </sheetViews>
  <sheetFormatPr defaultColWidth="9.109375" defaultRowHeight="14.4" x14ac:dyDescent="0.3"/>
  <cols>
    <col min="2" max="2" width="29.44140625" customWidth="1"/>
    <col min="3" max="3" width="45.88671875" customWidth="1"/>
    <col min="4" max="4" width="39.5546875" customWidth="1"/>
    <col min="5" max="5" width="56.88671875" customWidth="1"/>
    <col min="6" max="6" width="40.6640625" customWidth="1"/>
  </cols>
  <sheetData>
    <row r="1" spans="1:6" ht="15" thickBot="1" x14ac:dyDescent="0.35">
      <c r="A1" s="84" t="s">
        <v>184</v>
      </c>
      <c r="B1" s="84" t="s">
        <v>179</v>
      </c>
      <c r="C1" s="84" t="s">
        <v>16</v>
      </c>
      <c r="D1" s="84" t="s">
        <v>181</v>
      </c>
      <c r="E1" s="84" t="s">
        <v>185</v>
      </c>
      <c r="F1" s="84" t="s">
        <v>5</v>
      </c>
    </row>
    <row r="2" spans="1:6" ht="15" thickBot="1" x14ac:dyDescent="0.35">
      <c r="A2" s="85">
        <v>1</v>
      </c>
      <c r="B2" s="85" t="s">
        <v>186</v>
      </c>
      <c r="C2" s="85" t="s">
        <v>187</v>
      </c>
      <c r="D2" s="85" t="s">
        <v>188</v>
      </c>
      <c r="E2" s="85" t="s">
        <v>189</v>
      </c>
      <c r="F2" s="85" t="s">
        <v>190</v>
      </c>
    </row>
    <row r="3" spans="1:6" ht="15" thickBot="1" x14ac:dyDescent="0.35">
      <c r="A3" s="85">
        <v>2</v>
      </c>
      <c r="B3" s="85" t="s">
        <v>191</v>
      </c>
      <c r="C3" s="85" t="s">
        <v>192</v>
      </c>
      <c r="D3" s="85" t="s">
        <v>193</v>
      </c>
      <c r="E3" s="85" t="s">
        <v>189</v>
      </c>
      <c r="F3" s="85" t="s">
        <v>190</v>
      </c>
    </row>
    <row r="4" spans="1:6" ht="15" thickBot="1" x14ac:dyDescent="0.35">
      <c r="A4" s="85">
        <v>3</v>
      </c>
      <c r="B4" s="85" t="s">
        <v>194</v>
      </c>
      <c r="C4" s="85" t="s">
        <v>195</v>
      </c>
      <c r="D4" s="85" t="s">
        <v>196</v>
      </c>
      <c r="E4" s="85" t="s">
        <v>197</v>
      </c>
      <c r="F4" s="85" t="s">
        <v>198</v>
      </c>
    </row>
    <row r="5" spans="1:6" ht="15" thickBot="1" x14ac:dyDescent="0.35">
      <c r="A5" s="85">
        <v>4</v>
      </c>
      <c r="B5" s="85" t="s">
        <v>199</v>
      </c>
      <c r="C5" s="85" t="s">
        <v>200</v>
      </c>
      <c r="D5" s="85" t="s">
        <v>196</v>
      </c>
      <c r="E5" s="85" t="s">
        <v>197</v>
      </c>
      <c r="F5" s="85" t="s">
        <v>190</v>
      </c>
    </row>
    <row r="6" spans="1:6" ht="15" thickBot="1" x14ac:dyDescent="0.35">
      <c r="A6" s="85">
        <v>5</v>
      </c>
      <c r="B6" s="85" t="s">
        <v>186</v>
      </c>
      <c r="C6" s="85" t="s">
        <v>201</v>
      </c>
      <c r="D6" s="85" t="s">
        <v>202</v>
      </c>
      <c r="E6" s="85" t="s">
        <v>189</v>
      </c>
      <c r="F6" s="85" t="s">
        <v>190</v>
      </c>
    </row>
    <row r="7" spans="1:6" ht="15" thickBot="1" x14ac:dyDescent="0.35">
      <c r="A7" s="85">
        <v>6</v>
      </c>
      <c r="B7" s="85" t="s">
        <v>203</v>
      </c>
      <c r="C7" s="85" t="s">
        <v>204</v>
      </c>
      <c r="D7" s="85" t="s">
        <v>205</v>
      </c>
      <c r="E7" s="85" t="s">
        <v>197</v>
      </c>
      <c r="F7" s="85" t="s">
        <v>190</v>
      </c>
    </row>
    <row r="8" spans="1:6" ht="15" thickBot="1" x14ac:dyDescent="0.35">
      <c r="A8" s="85">
        <v>7</v>
      </c>
      <c r="B8" s="85" t="s">
        <v>206</v>
      </c>
      <c r="C8" s="85" t="s">
        <v>207</v>
      </c>
      <c r="D8" s="85" t="s">
        <v>208</v>
      </c>
      <c r="E8" s="85" t="s">
        <v>197</v>
      </c>
      <c r="F8" s="85" t="s">
        <v>198</v>
      </c>
    </row>
    <row r="9" spans="1:6" ht="15" thickBot="1" x14ac:dyDescent="0.35">
      <c r="A9" s="85">
        <v>8</v>
      </c>
      <c r="B9" s="85" t="s">
        <v>209</v>
      </c>
      <c r="C9" s="85" t="s">
        <v>210</v>
      </c>
      <c r="D9" s="85" t="s">
        <v>211</v>
      </c>
      <c r="E9" s="85" t="s">
        <v>197</v>
      </c>
      <c r="F9" s="85" t="s">
        <v>190</v>
      </c>
    </row>
    <row r="10" spans="1:6" ht="15" thickBot="1" x14ac:dyDescent="0.35">
      <c r="A10" s="85">
        <v>9</v>
      </c>
      <c r="B10" s="85" t="s">
        <v>212</v>
      </c>
      <c r="C10" s="85" t="s">
        <v>213</v>
      </c>
      <c r="D10" s="85" t="s">
        <v>214</v>
      </c>
      <c r="E10" s="85" t="s">
        <v>197</v>
      </c>
      <c r="F10" s="85" t="s">
        <v>190</v>
      </c>
    </row>
    <row r="11" spans="1:6" ht="15" thickBot="1" x14ac:dyDescent="0.35">
      <c r="A11" s="85">
        <v>10</v>
      </c>
      <c r="B11" s="85" t="s">
        <v>199</v>
      </c>
      <c r="C11" s="85" t="s">
        <v>215</v>
      </c>
      <c r="D11" s="85" t="s">
        <v>214</v>
      </c>
      <c r="E11" s="85" t="s">
        <v>216</v>
      </c>
      <c r="F11" s="85" t="s">
        <v>190</v>
      </c>
    </row>
    <row r="12" spans="1:6" ht="15" thickBot="1" x14ac:dyDescent="0.35">
      <c r="A12" s="85">
        <v>11</v>
      </c>
      <c r="B12" s="85" t="s">
        <v>217</v>
      </c>
      <c r="C12" s="85" t="s">
        <v>218</v>
      </c>
      <c r="D12" s="85" t="s">
        <v>219</v>
      </c>
      <c r="E12" s="85" t="s">
        <v>189</v>
      </c>
      <c r="F12" s="85" t="s">
        <v>190</v>
      </c>
    </row>
    <row r="13" spans="1:6" ht="15" thickBot="1" x14ac:dyDescent="0.35">
      <c r="A13" s="85">
        <v>12</v>
      </c>
      <c r="B13" s="85" t="s">
        <v>220</v>
      </c>
      <c r="C13" s="85" t="s">
        <v>221</v>
      </c>
      <c r="D13" s="85" t="s">
        <v>222</v>
      </c>
      <c r="E13" s="85" t="s">
        <v>189</v>
      </c>
      <c r="F13" s="85" t="s">
        <v>190</v>
      </c>
    </row>
    <row r="14" spans="1:6" ht="15" thickBot="1" x14ac:dyDescent="0.35">
      <c r="A14" s="85">
        <v>13</v>
      </c>
      <c r="B14" s="85" t="s">
        <v>223</v>
      </c>
      <c r="C14" s="85" t="s">
        <v>224</v>
      </c>
      <c r="D14" s="85" t="s">
        <v>225</v>
      </c>
      <c r="E14" s="85" t="s">
        <v>189</v>
      </c>
      <c r="F14" s="85" t="s">
        <v>190</v>
      </c>
    </row>
    <row r="15" spans="1:6" ht="15" thickBot="1" x14ac:dyDescent="0.35">
      <c r="A15" s="85">
        <v>14</v>
      </c>
      <c r="B15" s="85" t="s">
        <v>226</v>
      </c>
      <c r="C15" s="85" t="s">
        <v>227</v>
      </c>
      <c r="D15" s="85" t="s">
        <v>228</v>
      </c>
      <c r="E15" s="85" t="s">
        <v>229</v>
      </c>
      <c r="F15" s="85" t="s">
        <v>190</v>
      </c>
    </row>
    <row r="16" spans="1:6" ht="15" thickBot="1" x14ac:dyDescent="0.35">
      <c r="A16" s="85">
        <v>15</v>
      </c>
      <c r="B16" s="85" t="s">
        <v>226</v>
      </c>
      <c r="C16" s="85" t="s">
        <v>227</v>
      </c>
      <c r="D16" s="85" t="s">
        <v>228</v>
      </c>
      <c r="E16" s="85" t="s">
        <v>230</v>
      </c>
      <c r="F16" s="85" t="s">
        <v>190</v>
      </c>
    </row>
    <row r="17" spans="1:6" ht="15" thickBot="1" x14ac:dyDescent="0.35">
      <c r="A17" s="85">
        <v>16</v>
      </c>
      <c r="B17" s="85" t="s">
        <v>186</v>
      </c>
      <c r="C17" s="85" t="s">
        <v>231</v>
      </c>
      <c r="D17" s="85" t="s">
        <v>232</v>
      </c>
      <c r="E17" s="85" t="s">
        <v>233</v>
      </c>
      <c r="F17" s="85" t="s">
        <v>190</v>
      </c>
    </row>
    <row r="18" spans="1:6" ht="15" thickBot="1" x14ac:dyDescent="0.35">
      <c r="A18" s="85">
        <v>17</v>
      </c>
      <c r="B18" s="85" t="s">
        <v>220</v>
      </c>
      <c r="C18" s="85" t="s">
        <v>221</v>
      </c>
      <c r="D18" s="85" t="s">
        <v>232</v>
      </c>
      <c r="E18" s="85" t="s">
        <v>197</v>
      </c>
      <c r="F18" s="85" t="s">
        <v>190</v>
      </c>
    </row>
    <row r="19" spans="1:6" ht="15" thickBot="1" x14ac:dyDescent="0.35">
      <c r="A19" s="85">
        <v>18</v>
      </c>
      <c r="B19" s="85" t="s">
        <v>234</v>
      </c>
      <c r="C19" s="85" t="s">
        <v>235</v>
      </c>
      <c r="D19" s="85" t="s">
        <v>236</v>
      </c>
      <c r="E19" s="85" t="s">
        <v>237</v>
      </c>
      <c r="F19" s="85" t="s">
        <v>190</v>
      </c>
    </row>
    <row r="20" spans="1:6" ht="15" thickBot="1" x14ac:dyDescent="0.35">
      <c r="A20" s="85">
        <v>19</v>
      </c>
      <c r="B20" s="85" t="s">
        <v>191</v>
      </c>
      <c r="C20" s="85" t="s">
        <v>238</v>
      </c>
      <c r="D20" s="85" t="s">
        <v>239</v>
      </c>
      <c r="E20" s="85" t="s">
        <v>197</v>
      </c>
      <c r="F20" s="85" t="s">
        <v>190</v>
      </c>
    </row>
    <row r="21" spans="1:6" ht="15" thickBot="1" x14ac:dyDescent="0.35">
      <c r="A21" s="85">
        <v>20</v>
      </c>
      <c r="B21" s="85" t="s">
        <v>240</v>
      </c>
      <c r="C21" s="85" t="s">
        <v>241</v>
      </c>
      <c r="D21" s="85" t="s">
        <v>242</v>
      </c>
      <c r="E21" s="85" t="s">
        <v>230</v>
      </c>
      <c r="F21" s="85" t="s">
        <v>190</v>
      </c>
    </row>
    <row r="22" spans="1:6" ht="15" thickBot="1" x14ac:dyDescent="0.35">
      <c r="A22" s="85">
        <v>21</v>
      </c>
      <c r="B22" s="85" t="s">
        <v>243</v>
      </c>
      <c r="C22" s="85" t="s">
        <v>244</v>
      </c>
      <c r="D22" s="85" t="s">
        <v>245</v>
      </c>
      <c r="E22" s="85" t="s">
        <v>189</v>
      </c>
      <c r="F22" s="85" t="s">
        <v>190</v>
      </c>
    </row>
    <row r="23" spans="1:6" ht="15" thickBot="1" x14ac:dyDescent="0.35">
      <c r="A23" s="85">
        <v>22</v>
      </c>
      <c r="B23" s="85" t="s">
        <v>223</v>
      </c>
      <c r="C23" s="85" t="s">
        <v>246</v>
      </c>
      <c r="D23" s="85" t="s">
        <v>247</v>
      </c>
      <c r="E23" s="85" t="s">
        <v>248</v>
      </c>
      <c r="F23" s="85" t="s">
        <v>190</v>
      </c>
    </row>
    <row r="24" spans="1:6" ht="15" thickBot="1" x14ac:dyDescent="0.35">
      <c r="A24" s="85">
        <v>23</v>
      </c>
      <c r="B24" s="85" t="s">
        <v>191</v>
      </c>
      <c r="C24" s="85" t="s">
        <v>249</v>
      </c>
      <c r="D24" s="85" t="s">
        <v>250</v>
      </c>
      <c r="E24" s="85" t="s">
        <v>251</v>
      </c>
      <c r="F24" s="85" t="s">
        <v>190</v>
      </c>
    </row>
    <row r="25" spans="1:6" ht="15" thickBot="1" x14ac:dyDescent="0.35">
      <c r="A25" s="85">
        <v>24</v>
      </c>
      <c r="B25" s="85" t="s">
        <v>191</v>
      </c>
      <c r="C25" s="85" t="s">
        <v>238</v>
      </c>
      <c r="D25" s="85" t="s">
        <v>250</v>
      </c>
      <c r="E25" s="85" t="s">
        <v>189</v>
      </c>
      <c r="F25" s="85" t="s">
        <v>190</v>
      </c>
    </row>
    <row r="26" spans="1:6" ht="15" thickBot="1" x14ac:dyDescent="0.35">
      <c r="A26" s="85">
        <v>25</v>
      </c>
      <c r="B26" s="85" t="s">
        <v>252</v>
      </c>
      <c r="C26" s="85" t="s">
        <v>253</v>
      </c>
      <c r="D26" s="85" t="s">
        <v>254</v>
      </c>
      <c r="E26" s="85" t="s">
        <v>255</v>
      </c>
      <c r="F26" s="85" t="s">
        <v>190</v>
      </c>
    </row>
    <row r="27" spans="1:6" ht="15" thickBot="1" x14ac:dyDescent="0.35">
      <c r="A27" s="85">
        <v>26</v>
      </c>
      <c r="B27" s="85" t="s">
        <v>226</v>
      </c>
      <c r="C27" s="85" t="s">
        <v>227</v>
      </c>
      <c r="D27" s="85" t="s">
        <v>256</v>
      </c>
      <c r="E27" s="85" t="s">
        <v>229</v>
      </c>
      <c r="F27" s="85" t="s">
        <v>190</v>
      </c>
    </row>
    <row r="28" spans="1:6" ht="15" thickBot="1" x14ac:dyDescent="0.35">
      <c r="A28" s="85">
        <v>27</v>
      </c>
      <c r="B28" s="85" t="s">
        <v>257</v>
      </c>
      <c r="C28" s="85" t="s">
        <v>258</v>
      </c>
      <c r="D28" s="85" t="s">
        <v>259</v>
      </c>
      <c r="E28" s="85" t="s">
        <v>189</v>
      </c>
      <c r="F28" s="85" t="s">
        <v>190</v>
      </c>
    </row>
    <row r="29" spans="1:6" ht="15" thickBot="1" x14ac:dyDescent="0.35">
      <c r="A29" s="85">
        <v>28</v>
      </c>
      <c r="B29" s="85" t="s">
        <v>260</v>
      </c>
      <c r="C29" s="85" t="s">
        <v>261</v>
      </c>
      <c r="D29" s="85" t="s">
        <v>259</v>
      </c>
      <c r="E29" s="85" t="s">
        <v>197</v>
      </c>
      <c r="F29" s="85" t="s">
        <v>190</v>
      </c>
    </row>
    <row r="30" spans="1:6" ht="15" thickBot="1" x14ac:dyDescent="0.35">
      <c r="A30" s="85">
        <v>29</v>
      </c>
      <c r="B30" s="85" t="s">
        <v>240</v>
      </c>
      <c r="C30" s="85" t="s">
        <v>262</v>
      </c>
      <c r="D30" s="85" t="s">
        <v>263</v>
      </c>
      <c r="E30" s="85" t="s">
        <v>197</v>
      </c>
      <c r="F30" s="85" t="s">
        <v>190</v>
      </c>
    </row>
    <row r="31" spans="1:6" ht="15" thickBot="1" x14ac:dyDescent="0.35">
      <c r="A31" s="85">
        <v>30</v>
      </c>
      <c r="B31" s="85" t="s">
        <v>240</v>
      </c>
      <c r="C31" s="85" t="s">
        <v>264</v>
      </c>
      <c r="D31" s="85" t="s">
        <v>265</v>
      </c>
      <c r="E31" s="85" t="s">
        <v>266</v>
      </c>
      <c r="F31" s="85" t="s">
        <v>190</v>
      </c>
    </row>
    <row r="32" spans="1:6" ht="15" thickBot="1" x14ac:dyDescent="0.35">
      <c r="A32" s="85">
        <v>31</v>
      </c>
      <c r="B32" s="85" t="s">
        <v>257</v>
      </c>
      <c r="C32" s="85" t="s">
        <v>267</v>
      </c>
      <c r="D32" s="85" t="s">
        <v>268</v>
      </c>
      <c r="E32" s="85" t="s">
        <v>230</v>
      </c>
      <c r="F32" s="85" t="s">
        <v>190</v>
      </c>
    </row>
    <row r="33" spans="1:6" ht="15" thickBot="1" x14ac:dyDescent="0.35">
      <c r="A33" s="85">
        <v>32</v>
      </c>
      <c r="B33" s="85" t="s">
        <v>269</v>
      </c>
      <c r="C33" s="85" t="s">
        <v>270</v>
      </c>
      <c r="D33" s="85" t="s">
        <v>271</v>
      </c>
      <c r="E33" s="85" t="s">
        <v>272</v>
      </c>
      <c r="F33" s="85" t="s">
        <v>190</v>
      </c>
    </row>
    <row r="34" spans="1:6" ht="15" thickBot="1" x14ac:dyDescent="0.35">
      <c r="A34" s="85">
        <v>33</v>
      </c>
      <c r="B34" s="85" t="s">
        <v>273</v>
      </c>
      <c r="C34" s="85" t="s">
        <v>274</v>
      </c>
      <c r="D34" s="85" t="s">
        <v>275</v>
      </c>
      <c r="E34" s="85" t="s">
        <v>276</v>
      </c>
      <c r="F34" s="85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DTR</vt:lpstr>
      <vt:lpstr>IQAR</vt:lpstr>
      <vt:lpstr>College Activities</vt:lpstr>
      <vt:lpstr>Sheet1</vt:lpstr>
      <vt:lpstr>Sheet2</vt:lpstr>
      <vt:lpstr>Sheet3</vt:lpstr>
      <vt:lpstr>Sheet4</vt:lpstr>
      <vt:lpstr>'College Activities'!Print_Area</vt:lpstr>
      <vt:lpstr>DTR!Print_Area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</dc:creator>
  <cp:lastModifiedBy>Genesis Tumbaga</cp:lastModifiedBy>
  <cp:lastPrinted>2026-01-26T09:02:55Z</cp:lastPrinted>
  <dcterms:created xsi:type="dcterms:W3CDTF">2025-10-09T07:16:08Z</dcterms:created>
  <dcterms:modified xsi:type="dcterms:W3CDTF">2026-02-02T02:32:55Z</dcterms:modified>
</cp:coreProperties>
</file>